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1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4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1b8bf9c4d3dca6f/文档/附件/小论文/for pnas/"/>
    </mc:Choice>
  </mc:AlternateContent>
  <xr:revisionPtr revIDLastSave="275" documentId="13_ncr:1_{64638F51-15C4-4AC6-ADD0-C12BD378AEA5}" xr6:coauthVersionLast="47" xr6:coauthVersionMax="47" xr10:uidLastSave="{D6E55340-9BE2-4F95-B4AD-D572A4077C81}"/>
  <bookViews>
    <workbookView xWindow="-98" yWindow="-98" windowWidth="38596" windowHeight="15675" activeTab="3" xr2:uid="{00000000-000D-0000-FFFF-FFFF00000000}"/>
  </bookViews>
  <sheets>
    <sheet name="Baseline Fat Mass Results" sheetId="1" r:id="rId1"/>
    <sheet name="High Fat Mass Result" sheetId="2" r:id="rId2"/>
    <sheet name="Low Fat Mass Results" sheetId="3" r:id="rId3"/>
    <sheet name="Statistics of Mean Value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L4" i="1"/>
  <c r="M4" i="1"/>
  <c r="N62" i="1"/>
  <c r="N4" i="1"/>
  <c r="N157" i="3"/>
  <c r="M157" i="3"/>
  <c r="L157" i="3"/>
  <c r="K157" i="3"/>
  <c r="N99" i="3"/>
  <c r="M99" i="3"/>
  <c r="L99" i="3"/>
  <c r="K99" i="3"/>
  <c r="N62" i="3"/>
  <c r="M62" i="3"/>
  <c r="L62" i="3"/>
  <c r="K62" i="3"/>
  <c r="N4" i="3"/>
  <c r="M4" i="3"/>
  <c r="L4" i="3"/>
  <c r="K4" i="3"/>
  <c r="N157" i="2"/>
  <c r="M157" i="2"/>
  <c r="L157" i="2"/>
  <c r="K157" i="2"/>
  <c r="N99" i="2"/>
  <c r="M99" i="2"/>
  <c r="L99" i="2"/>
  <c r="K99" i="2"/>
  <c r="N62" i="2"/>
  <c r="M62" i="2"/>
  <c r="L62" i="2"/>
  <c r="K62" i="2"/>
  <c r="N4" i="2"/>
  <c r="M4" i="2"/>
  <c r="L4" i="2"/>
  <c r="K4" i="2"/>
  <c r="N157" i="1"/>
  <c r="M157" i="1"/>
  <c r="L157" i="1"/>
  <c r="K157" i="1"/>
  <c r="N99" i="1"/>
  <c r="M99" i="1"/>
  <c r="L99" i="1"/>
  <c r="K99" i="1"/>
  <c r="M62" i="1"/>
  <c r="L62" i="1"/>
  <c r="K62" i="1"/>
</calcChain>
</file>

<file path=xl/sharedStrings.xml><?xml version="1.0" encoding="utf-8"?>
<sst xmlns="http://schemas.openxmlformats.org/spreadsheetml/2006/main" count="1263" uniqueCount="234">
  <si>
    <t>Average migration distance (km/Agent)</t>
  </si>
  <si>
    <t>Species Names and Simulated Geological Periods</t>
    <phoneticPr fontId="1" type="noConversion"/>
  </si>
  <si>
    <t>Total Time for All Agents (s)</t>
    <phoneticPr fontId="1" type="noConversion"/>
  </si>
  <si>
    <t>Total migration distance for all agents (m)</t>
    <phoneticPr fontId="1" type="noConversion"/>
  </si>
  <si>
    <t>Paleo-projected regions\Lévy exponent\projected geological time</t>
    <phoneticPr fontId="1" type="noConversion"/>
  </si>
  <si>
    <t>Average step time (s/Agent)</t>
    <phoneticPr fontId="1" type="noConversion"/>
  </si>
  <si>
    <t>Ichthyosauria</t>
  </si>
  <si>
    <t>Body length(m)</t>
    <phoneticPr fontId="1" type="noConversion"/>
  </si>
  <si>
    <t>Placodontia</t>
    <phoneticPr fontId="1" type="noConversion"/>
  </si>
  <si>
    <t>Palaeo-Europe\levy15\240</t>
  </si>
  <si>
    <t>Palaeo-Europe\levy15\245</t>
  </si>
  <si>
    <t>Palaeo-Europe\levy2\240</t>
  </si>
  <si>
    <t>Palaeo-Europe\levy2\245</t>
  </si>
  <si>
    <t>Palaeo-Europe\levy15\205</t>
  </si>
  <si>
    <t>Palaeo-Europe\levy15\210</t>
  </si>
  <si>
    <t>Palaeo-Europe\levy15\215</t>
  </si>
  <si>
    <t>Palaeo-Europe\levy15\235</t>
  </si>
  <si>
    <t>Palaeo-Europe\levy2\205</t>
  </si>
  <si>
    <t>Palaeo-Europe\levy2\210</t>
  </si>
  <si>
    <t>Palaeo-Europe\levy2\215</t>
  </si>
  <si>
    <t>Palaeo-Europe\levy2\235</t>
  </si>
  <si>
    <t>Palaeo-North America\levy15\215</t>
  </si>
  <si>
    <t>Palaeo-North America\levy15\220</t>
  </si>
  <si>
    <t>Palaeo-North America\levy15\225</t>
  </si>
  <si>
    <t>Palaeo-North America\levy15\230</t>
  </si>
  <si>
    <t>Palaeo-North America\levy15\235</t>
  </si>
  <si>
    <t>Palaeo-North America\levy15\240</t>
  </si>
  <si>
    <t>Palaeo-North America\levy15\245</t>
  </si>
  <si>
    <t>Palaeo-North America\levy2\215</t>
  </si>
  <si>
    <t>Palaeo-North America\levy2\220</t>
  </si>
  <si>
    <t>Palaeo-North America\levy2\225</t>
  </si>
  <si>
    <t>Palaeo-North America\levy2\230</t>
  </si>
  <si>
    <t>Palaeo-North America\levy2\235</t>
  </si>
  <si>
    <t>Palaeo-North America\levy2\240</t>
  </si>
  <si>
    <t>Palaeo-North America\levy2\245</t>
  </si>
  <si>
    <t>Palaeo-Asia\levy15\215</t>
  </si>
  <si>
    <t>Palaeo-Asia\levy15\220</t>
  </si>
  <si>
    <t>Palaeo-Asia\levy15\230</t>
  </si>
  <si>
    <t>Palaeo-Asia\levy15\235</t>
  </si>
  <si>
    <t>Palaeo-Asia\levy15\245</t>
  </si>
  <si>
    <t>Palaeo-Asia\levy15\240</t>
  </si>
  <si>
    <t>Palaeo-Asia\levy2\215</t>
  </si>
  <si>
    <t>Palaeo-Asia\levy2\220</t>
  </si>
  <si>
    <t>Palaeo-Asia\levy2\230</t>
  </si>
  <si>
    <t>Palaeo-Asia\levy2\235</t>
  </si>
  <si>
    <t>Palaeo-Asia\levy2\245</t>
  </si>
  <si>
    <t>Palaeo-Asia\levy2\240</t>
  </si>
  <si>
    <t>Baseline Fat levy1.5-Strong Willingness Migration</t>
    <phoneticPr fontId="1" type="noConversion"/>
  </si>
  <si>
    <t>High Fat levy1.5-Strong Willingness Migration</t>
    <phoneticPr fontId="1" type="noConversion"/>
  </si>
  <si>
    <t>Low Fat levy1.5-Strong Willingness Migration</t>
    <phoneticPr fontId="1" type="noConversion"/>
  </si>
  <si>
    <t>Low Fat levy2-Steady Willingness Migration</t>
    <phoneticPr fontId="1" type="noConversion"/>
  </si>
  <si>
    <t>High Fat levy2-Steady Willingness Migration</t>
    <phoneticPr fontId="1" type="noConversion"/>
  </si>
  <si>
    <t>Baseline Fat levy2-Steady Willingness Migration</t>
    <phoneticPr fontId="1" type="noConversion"/>
  </si>
  <si>
    <t>Average completion time (year/Agent)</t>
  </si>
  <si>
    <t>Average completion time (year/Agent)</t>
    <phoneticPr fontId="1" type="noConversion"/>
  </si>
  <si>
    <t>Average annual migration distance</t>
  </si>
  <si>
    <t>Average annual migration distance</t>
    <phoneticPr fontId="1" type="noConversion"/>
  </si>
  <si>
    <t>Average annual migration distance</t>
    <phoneticPr fontId="1" type="noConversion"/>
  </si>
  <si>
    <t>Migration Survival Rate(%)</t>
    <phoneticPr fontId="1" type="noConversion"/>
  </si>
  <si>
    <t>基线普通脂肪 - 强迁移意愿</t>
    <phoneticPr fontId="8" type="noConversion"/>
  </si>
  <si>
    <t>基线普通脂肪 - 稳健迁移意愿</t>
    <phoneticPr fontId="8" type="noConversion"/>
  </si>
  <si>
    <t>190.19±148.83</t>
  </si>
  <si>
    <t>高脂肪 - 强迁移意愿</t>
    <phoneticPr fontId="8" type="noConversion"/>
  </si>
  <si>
    <t>高脂肪 - 稳健迁移意愿</t>
    <phoneticPr fontId="8" type="noConversion"/>
  </si>
  <si>
    <t>低脂肪 - 强迁移意愿</t>
    <phoneticPr fontId="8" type="noConversion"/>
  </si>
  <si>
    <t>327.35±257.84</t>
  </si>
  <si>
    <t>低脂肪 - 稳健迁移意愿</t>
    <phoneticPr fontId="8" type="noConversion"/>
  </si>
  <si>
    <t>187.38±146.99</t>
  </si>
  <si>
    <t>232.72±147.72</t>
  </si>
  <si>
    <t>130.68±98.04</t>
  </si>
  <si>
    <t>2247.09±1169.32</t>
    <phoneticPr fontId="8" type="noConversion"/>
  </si>
  <si>
    <t>1267.59±881.11</t>
    <phoneticPr fontId="8" type="noConversion"/>
  </si>
  <si>
    <t>9.8±2.74</t>
    <phoneticPr fontId="8" type="noConversion"/>
  </si>
  <si>
    <t>242.34±135.32</t>
    <phoneticPr fontId="8" type="noConversion"/>
  </si>
  <si>
    <t>59.9±28.47</t>
    <phoneticPr fontId="8" type="noConversion"/>
  </si>
  <si>
    <t>9.89±1.92</t>
    <phoneticPr fontId="8" type="noConversion"/>
  </si>
  <si>
    <t>132.34±99.75</t>
    <phoneticPr fontId="8" type="noConversion"/>
  </si>
  <si>
    <t>75.69±18.69</t>
    <phoneticPr fontId="8" type="noConversion"/>
  </si>
  <si>
    <t>2882.25±1443.49</t>
    <phoneticPr fontId="8" type="noConversion"/>
  </si>
  <si>
    <t>10.37±4.49</t>
    <phoneticPr fontId="8" type="noConversion"/>
  </si>
  <si>
    <t>346.62±244.33</t>
    <phoneticPr fontId="8" type="noConversion"/>
  </si>
  <si>
    <t>63.79±21.48</t>
    <phoneticPr fontId="8" type="noConversion"/>
  </si>
  <si>
    <t>1315.11±918.73</t>
    <phoneticPr fontId="8" type="noConversion"/>
  </si>
  <si>
    <t>8.74±4.16</t>
    <phoneticPr fontId="8" type="noConversion"/>
  </si>
  <si>
    <t>185.52±138.13</t>
    <phoneticPr fontId="8" type="noConversion"/>
  </si>
  <si>
    <t>88.55±10.52</t>
    <phoneticPr fontId="8" type="noConversion"/>
  </si>
  <si>
    <t>331.54±248.29</t>
    <phoneticPr fontId="1" type="noConversion"/>
  </si>
  <si>
    <t>85.84±11.8</t>
    <phoneticPr fontId="1" type="noConversion"/>
  </si>
  <si>
    <t>243.44±143.07</t>
    <phoneticPr fontId="1" type="noConversion"/>
  </si>
  <si>
    <t>57.59±28.88</t>
    <phoneticPr fontId="1" type="noConversion"/>
  </si>
  <si>
    <t>平均完成时间（年/Agent）</t>
    <phoneticPr fontId="1" type="noConversion"/>
  </si>
  <si>
    <t>体长(m)</t>
    <phoneticPr fontId="1" type="noConversion"/>
  </si>
  <si>
    <t>平均迁移距离(km/Agent)</t>
    <phoneticPr fontId="1" type="noConversion"/>
  </si>
  <si>
    <t>Utatsusaurus hataii-245Ma</t>
  </si>
  <si>
    <t>Utatsusaurus hataii-245MaMa</t>
  </si>
  <si>
    <t>Shastasaurus sikanniensis-215Ma</t>
  </si>
  <si>
    <t>Mikadocephalus gracilirostris-245Ma</t>
  </si>
  <si>
    <t>Hudsonelpidia brevirostris-225Ma</t>
  </si>
  <si>
    <t>Thalattoarchon saurophagis-245Ma</t>
  </si>
  <si>
    <t>Besanosaurus leptorhynchus-245Ma</t>
  </si>
  <si>
    <t>Cymbospondylus buchseri-245Ma</t>
  </si>
  <si>
    <t>Cymbospondylus duelferi-245Ma</t>
  </si>
  <si>
    <t>Phalarodon callawayi-245Ma</t>
  </si>
  <si>
    <t>Mixosaurus cornalianus-245Ma</t>
  </si>
  <si>
    <t>Cymbospondylus nichollsi-245Ma</t>
  </si>
  <si>
    <t>Gulosaurus helmi-245Ma</t>
  </si>
  <si>
    <t>Himalayasaurus tibetensis-215Ma</t>
  </si>
  <si>
    <t>Phantomosaurus neubigi-245Ma</t>
  </si>
  <si>
    <t>Thaisaurus chonglakmanii-245Ma</t>
  </si>
  <si>
    <t>Shastasaurus pacificus-235Ma</t>
  </si>
  <si>
    <t>Cymbospondylus piscosus-245Ma</t>
  </si>
  <si>
    <t>Shastasaurus tangae-235Ma</t>
  </si>
  <si>
    <t>Omphalosaurus nevadanus-245Ma</t>
  </si>
  <si>
    <t>Grippia longirostris-245Ma</t>
  </si>
  <si>
    <t>Phalarodon fraasi-245Ma</t>
  </si>
  <si>
    <t>Phalarodon atavus-245Ma</t>
  </si>
  <si>
    <t>Parvinatator wapitiensis-245Ma</t>
  </si>
  <si>
    <t>Xinminosaurus catactes-245Ma</t>
  </si>
  <si>
    <t>Qianichthyosaurus xingyiensis-235Ma</t>
  </si>
  <si>
    <t>Sclerocormus parviceps-245Ma</t>
  </si>
  <si>
    <t>Barracudasauroides panxianensis-245Ma</t>
  </si>
  <si>
    <t>Chaohusaurus geishanensis-245Ma</t>
  </si>
  <si>
    <t>Chaohusaurus chaoxianensis-245Ma</t>
  </si>
  <si>
    <t>Shastasaurus liangae-235Ma</t>
  </si>
  <si>
    <t>Chaohusaurus zhangjiawanensis-245Ma</t>
  </si>
  <si>
    <t>Qianichthyosaurus zhoui-235Ma</t>
  </si>
  <si>
    <t>Cartorhynchus lenticarpus-245Ma</t>
  </si>
  <si>
    <t>Callarwayia wolongganagense-235Ma</t>
  </si>
  <si>
    <t>Quasianosteosaurus vikinghoegdai-245Ma</t>
  </si>
  <si>
    <t>Parvinatator wapitiensis-240Ma</t>
  </si>
  <si>
    <t>Cymbospondylus nichollsi-240Ma</t>
  </si>
  <si>
    <t>Mixosaurus cornalianus-240Ma</t>
  </si>
  <si>
    <t>Phalarodon callawayi-240Ma</t>
  </si>
  <si>
    <t>Macgowania janiceps-220Ma</t>
  </si>
  <si>
    <t>Cymbospondylus duelferi-240Ma</t>
  </si>
  <si>
    <t>Besanosaurus leptorhynchus-240Ma</t>
  </si>
  <si>
    <t>Mikadocephalus gracilirostris-240Ma</t>
  </si>
  <si>
    <t>Hudsonelpidia brevirostris-220Ma</t>
  </si>
  <si>
    <t>Omphalosaurus wolfi-240Ma</t>
  </si>
  <si>
    <t>Cymbospondylus buchseri-240Ma</t>
  </si>
  <si>
    <t>Callawayia neoscapularis-220Ma</t>
  </si>
  <si>
    <t>Himalayasaurus tibetensis-220Ma</t>
  </si>
  <si>
    <t>Callarwayia wolongganagense-230Ma</t>
  </si>
  <si>
    <t>Californosaurus perrini-230Ma</t>
  </si>
  <si>
    <t>Phalarodon fraasi-240Ma</t>
  </si>
  <si>
    <t>Cymbospondylus piscosus-240Ma</t>
  </si>
  <si>
    <t>Toretocnemus californicus-230Ma</t>
  </si>
  <si>
    <t>Toretocnemus zitteli-230Ma</t>
  </si>
  <si>
    <t>Shastasaurus tangae-230Ma</t>
  </si>
  <si>
    <t>Shastasaurus pacificus-230Ma</t>
  </si>
  <si>
    <t>Shonisaurus popularis-230Ma</t>
  </si>
  <si>
    <t>Helveticosaurus zollingeri-240Ma</t>
  </si>
  <si>
    <t>Cyamodus muensteri-240Ma</t>
  </si>
  <si>
    <t>Cyamodus kuhnschnyderi-240Ma</t>
  </si>
  <si>
    <t>Cyamodus rostratus-240Ma</t>
  </si>
  <si>
    <t>Henodus chelyops-240Ma</t>
  </si>
  <si>
    <t>Placochelys placodonta-240Ma</t>
  </si>
  <si>
    <t>Placodus gigas-240Ma</t>
  </si>
  <si>
    <t>Psephosauriscus rhombifer-240Ma</t>
  </si>
  <si>
    <t>Pararcus diepenbroek-240Ma</t>
  </si>
  <si>
    <t>Psephoderma alpinum-210Ma</t>
  </si>
  <si>
    <t>Glyphoderma kangi-240Ma</t>
  </si>
  <si>
    <t>Cyamodus hildegardis-245Ma</t>
  </si>
  <si>
    <t>Paraplacodus broilli-245Ma</t>
  </si>
  <si>
    <t>Helveticosaurus zollingeri-245Ma</t>
  </si>
  <si>
    <t>Psephosauriscus mosis-245Ma</t>
  </si>
  <si>
    <t>Eusaurosphargis dalsassoi-245Ma</t>
  </si>
  <si>
    <t>Psephosauriscus ramonensis-245Ma</t>
  </si>
  <si>
    <t>Psephosauriscus sinaiticus-245Ma</t>
  </si>
  <si>
    <t>Henodus chelyops-235Ma</t>
  </si>
  <si>
    <t>Atopodentatus unicus-245Ma</t>
  </si>
  <si>
    <t>Psephoderma alpinum-20Ma5Ma</t>
  </si>
  <si>
    <t>Psephoderma alpinum-215Ma</t>
  </si>
  <si>
    <t>Cyamodus rostratus-245Ma</t>
  </si>
  <si>
    <t>Placochelys placodonta-235Ma</t>
  </si>
  <si>
    <t>Placodus inexpectatus-245Ma</t>
  </si>
  <si>
    <t>Cyamodus muensteri-245Ma</t>
  </si>
  <si>
    <t>Pararcus diepenbroek-245Ma</t>
  </si>
  <si>
    <t>Macroplacus raeticus-20Ma5Ma</t>
  </si>
  <si>
    <t>Placodus gigas-245Ma</t>
  </si>
  <si>
    <t>Palatodonta bleekeri--245Ma</t>
  </si>
  <si>
    <t>Glyphoderma kangi-235Ma</t>
  </si>
  <si>
    <t>Cyamodus orientalis-235Ma</t>
  </si>
  <si>
    <t>Sinocyamodus xinpuensis-235Ma</t>
  </si>
  <si>
    <t>Psephochelys polyosteoderma-235Ma</t>
  </si>
  <si>
    <t>more-Cymbospondylus buchseri-240Ma</t>
  </si>
  <si>
    <t>Cymbospondylus nichollsi-240Ma.xlsx</t>
  </si>
  <si>
    <t>Psephochelys polyosteoderma-235Ma</t>
    <phoneticPr fontId="1" type="noConversion"/>
  </si>
  <si>
    <t>2656.74±1406.45</t>
    <phoneticPr fontId="8" type="noConversion"/>
  </si>
  <si>
    <t>10.08±4.59</t>
    <phoneticPr fontId="8" type="noConversion"/>
  </si>
  <si>
    <t>2119.17±1133.23</t>
    <phoneticPr fontId="8" type="noConversion"/>
  </si>
  <si>
    <t>鱼龙</t>
    <phoneticPr fontId="8" type="noConversion"/>
  </si>
  <si>
    <t>楯齿龙</t>
    <phoneticPr fontId="8" type="noConversion"/>
  </si>
  <si>
    <t>1.5+b</t>
    <phoneticPr fontId="8" type="noConversion"/>
  </si>
  <si>
    <t>1.5+l</t>
    <phoneticPr fontId="8" type="noConversion"/>
  </si>
  <si>
    <t>1.5+h</t>
    <phoneticPr fontId="8" type="noConversion"/>
  </si>
  <si>
    <t>2+l</t>
    <phoneticPr fontId="8" type="noConversion"/>
  </si>
  <si>
    <t>2+b</t>
    <phoneticPr fontId="8" type="noConversion"/>
  </si>
  <si>
    <t>2+h</t>
    <phoneticPr fontId="8" type="noConversion"/>
  </si>
  <si>
    <t>距离</t>
    <phoneticPr fontId="8" type="noConversion"/>
  </si>
  <si>
    <t>2438.14±1389.7</t>
    <phoneticPr fontId="8" type="noConversion"/>
  </si>
  <si>
    <t>1287.04±913.8</t>
    <phoneticPr fontId="8" type="noConversion"/>
  </si>
  <si>
    <t>1260.61±913.14</t>
    <phoneticPr fontId="8" type="noConversion"/>
  </si>
  <si>
    <t>1954.06±1134.91</t>
    <phoneticPr fontId="8" type="noConversion"/>
  </si>
  <si>
    <t>1201.44±816.15</t>
    <phoneticPr fontId="8" type="noConversion"/>
  </si>
  <si>
    <t>1157.5±805.21</t>
    <phoneticPr fontId="8" type="noConversion"/>
  </si>
  <si>
    <t>时间</t>
    <phoneticPr fontId="8" type="noConversion"/>
  </si>
  <si>
    <t>9.62±4.41</t>
    <phoneticPr fontId="8" type="noConversion"/>
  </si>
  <si>
    <t>9.35±2.97</t>
    <phoneticPr fontId="8" type="noConversion"/>
  </si>
  <si>
    <t>8.46±3.98</t>
    <phoneticPr fontId="8" type="noConversion"/>
  </si>
  <si>
    <t>8.33±3.91</t>
    <phoneticPr fontId="8" type="noConversion"/>
  </si>
  <si>
    <t>9.58±1.65</t>
    <phoneticPr fontId="8" type="noConversion"/>
  </si>
  <si>
    <t>8.99±2.7</t>
    <phoneticPr fontId="8" type="noConversion"/>
  </si>
  <si>
    <t>9.11±1.54</t>
    <phoneticPr fontId="8" type="noConversion"/>
  </si>
  <si>
    <t>存活率</t>
    <phoneticPr fontId="8" type="noConversion"/>
  </si>
  <si>
    <t>130.57±99.62</t>
    <phoneticPr fontId="8" type="noConversion"/>
  </si>
  <si>
    <t>85.84±11.8</t>
    <phoneticPr fontId="8" type="noConversion"/>
  </si>
  <si>
    <t>57.19±21.1</t>
    <phoneticPr fontId="8" type="noConversion"/>
  </si>
  <si>
    <t>82.41±14.72</t>
    <phoneticPr fontId="8" type="noConversion"/>
  </si>
  <si>
    <t>72.59±19.82</t>
    <phoneticPr fontId="8" type="noConversion"/>
  </si>
  <si>
    <t>54.49±28.41</t>
    <phoneticPr fontId="8" type="noConversion"/>
  </si>
  <si>
    <t>67.16±20.17</t>
    <phoneticPr fontId="8" type="noConversion"/>
  </si>
  <si>
    <t>ichthyosaur</t>
    <phoneticPr fontId="8" type="noConversion"/>
  </si>
  <si>
    <t>Placodontia</t>
    <phoneticPr fontId="8" type="noConversion"/>
  </si>
  <si>
    <t>Experimental treatment groups</t>
  </si>
  <si>
    <t>Experimental treatment groups</t>
    <phoneticPr fontId="8" type="noConversion"/>
  </si>
  <si>
    <t>Average individual migration distance (km)</t>
  </si>
  <si>
    <t>Average individual migration distance (km)</t>
    <phoneticPr fontId="8" type="noConversion"/>
  </si>
  <si>
    <t>Average migration completion time (years)</t>
  </si>
  <si>
    <t>Average migration completion time (years)</t>
    <phoneticPr fontId="8" type="noConversion"/>
  </si>
  <si>
    <t>Average annual migration distance (km)</t>
  </si>
  <si>
    <t>Average annual migration distance (km)</t>
    <phoneticPr fontId="8" type="noConversion"/>
  </si>
  <si>
    <t>Migration survival rate (%)</t>
  </si>
  <si>
    <t>Migration survival rate (%)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</si>
</sst>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¥&quot;* #,##0.00_ ;_ &quot;¥&quot;* \-#,##0.00_ ;_ &quot;¥&quot;* &quot;-&quot;??_ ;_ @_ "/>
    <numFmt numFmtId="176" formatCode="0.0_);[Red]\(0.0\)"/>
    <numFmt numFmtId="177" formatCode="#,##0.0_);[Red]\(#,##0.0\)"/>
  </numFmts>
  <fonts count="1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8"/>
      <color rgb="FF3F3F3F"/>
      <name val="宋体"/>
      <family val="2"/>
      <scheme val="minor"/>
    </font>
    <font>
      <sz val="18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36"/>
      <color rgb="FF3F3F3F"/>
      <name val="宋体"/>
      <family val="2"/>
      <charset val="134"/>
      <scheme val="minor"/>
    </font>
    <font>
      <b/>
      <sz val="72"/>
      <color rgb="FF3F3F3F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2" fillId="2" borderId="1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</cellStyleXfs>
  <cellXfs count="27">
    <xf numFmtId="0" fontId="0" fillId="0" borderId="0" xfId="0"/>
    <xf numFmtId="0" fontId="0" fillId="0" borderId="0" xfId="0" applyAlignment="1">
      <alignment horizontal="center"/>
    </xf>
    <xf numFmtId="0" fontId="3" fillId="2" borderId="1" xfId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0" fillId="0" borderId="0" xfId="2" applyFont="1" applyAlignment="1"/>
    <xf numFmtId="0" fontId="3" fillId="2" borderId="2" xfId="1" applyFont="1" applyBorder="1" applyAlignment="1">
      <alignment horizontal="center" vertical="center" wrapText="1"/>
    </xf>
    <xf numFmtId="44" fontId="0" fillId="0" borderId="0" xfId="2" applyFont="1" applyAlignment="1">
      <alignment horizontal="center" vertical="center"/>
    </xf>
    <xf numFmtId="176" fontId="3" fillId="2" borderId="1" xfId="1" applyNumberFormat="1" applyFont="1" applyAlignment="1">
      <alignment horizontal="center" vertical="center" wrapText="1"/>
    </xf>
    <xf numFmtId="176" fontId="0" fillId="0" borderId="0" xfId="0" applyNumberFormat="1" applyAlignment="1">
      <alignment horizontal="center"/>
    </xf>
    <xf numFmtId="44" fontId="0" fillId="0" borderId="0" xfId="2" applyFont="1" applyAlignment="1">
      <alignment horizontal="center"/>
    </xf>
    <xf numFmtId="176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/>
    <xf numFmtId="0" fontId="4" fillId="0" borderId="0" xfId="0" applyFont="1" applyAlignment="1">
      <alignment vertical="center" wrapText="1"/>
    </xf>
    <xf numFmtId="0" fontId="0" fillId="3" borderId="7" xfId="0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6" fillId="2" borderId="5" xfId="1" applyFont="1" applyBorder="1" applyAlignment="1">
      <alignment horizontal="center" vertical="center" wrapText="1"/>
    </xf>
    <xf numFmtId="0" fontId="6" fillId="2" borderId="0" xfId="1" applyFont="1" applyBorder="1" applyAlignment="1">
      <alignment horizontal="center" vertical="center" wrapText="1"/>
    </xf>
    <xf numFmtId="0" fontId="6" fillId="2" borderId="3" xfId="1" applyFont="1" applyBorder="1" applyAlignment="1">
      <alignment horizontal="center" vertical="center" wrapText="1"/>
    </xf>
    <xf numFmtId="0" fontId="6" fillId="2" borderId="4" xfId="1" applyFont="1" applyBorder="1" applyAlignment="1">
      <alignment horizontal="center" vertical="center" wrapText="1"/>
    </xf>
    <xf numFmtId="0" fontId="7" fillId="2" borderId="5" xfId="1" applyFont="1" applyBorder="1" applyAlignment="1">
      <alignment horizontal="center" vertical="center" wrapText="1"/>
    </xf>
    <xf numFmtId="0" fontId="7" fillId="2" borderId="0" xfId="1" applyFont="1" applyBorder="1" applyAlignment="1">
      <alignment horizontal="center" vertical="center" wrapText="1"/>
    </xf>
  </cellXfs>
  <cellStyles count="3">
    <cellStyle name="常规" xfId="0" builtinId="0"/>
    <cellStyle name="货币" xfId="2" builtinId="4"/>
    <cellStyle name="输出" xfId="1" builtinId="21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'Baseline Fat Mass Results'!$I$3</c:f>
              <c:strCache>
                <c:ptCount val="1"/>
                <c:pt idx="0">
                  <c:v>Average annual migration distance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'Baseline Fat Mass Results'!$B$4:$B$60</c:f>
              <c:strCache>
                <c:ptCount val="57"/>
                <c:pt idx="0">
                  <c:v> Utatsusaurus hataii-245MaMa </c:v>
                </c:pt>
                <c:pt idx="1">
                  <c:v> Shastasaurus sikanniensis-215Ma </c:v>
                </c:pt>
                <c:pt idx="2">
                  <c:v> Parvinatator wapitiensis-240Ma </c:v>
                </c:pt>
                <c:pt idx="3">
                  <c:v> Cymbospondylus nichollsi-240Ma </c:v>
                </c:pt>
                <c:pt idx="4">
                  <c:v> Mixosaurus cornalianus-240Ma </c:v>
                </c:pt>
                <c:pt idx="5">
                  <c:v> Phalarodon callawayi-240Ma </c:v>
                </c:pt>
                <c:pt idx="6">
                  <c:v> Macgowania janiceps-220Ma </c:v>
                </c:pt>
                <c:pt idx="7">
                  <c:v> Cymbospondylus duelferi-240Ma </c:v>
                </c:pt>
                <c:pt idx="8">
                  <c:v> Mikadocephalus gracilirostris-245Ma </c:v>
                </c:pt>
                <c:pt idx="9">
                  <c:v> Besanosaurus leptorhynchus-240Ma </c:v>
                </c:pt>
                <c:pt idx="10">
                  <c:v> Hudsonelpidia brevirostris-225Ma </c:v>
                </c:pt>
                <c:pt idx="11">
                  <c:v> Thalattoarchon saurophagis-245Ma </c:v>
                </c:pt>
                <c:pt idx="12">
                  <c:v> Besanosaurus leptorhynchus-245Ma </c:v>
                </c:pt>
                <c:pt idx="13">
                  <c:v> Cymbospondylus buchseri-245Ma </c:v>
                </c:pt>
                <c:pt idx="14">
                  <c:v> Cymbospondylus duelferi-245Ma </c:v>
                </c:pt>
                <c:pt idx="15">
                  <c:v> Mikadocephalus gracilirostris-240Ma </c:v>
                </c:pt>
                <c:pt idx="16">
                  <c:v> Phalarodon callawayi-245Ma </c:v>
                </c:pt>
                <c:pt idx="17">
                  <c:v> Hudsonelpidia brevirostris-220Ma </c:v>
                </c:pt>
                <c:pt idx="18">
                  <c:v> Mixosaurus cornalianus-245Ma </c:v>
                </c:pt>
                <c:pt idx="19">
                  <c:v> Cymbospondylus nichollsi-245Ma </c:v>
                </c:pt>
                <c:pt idx="20">
                  <c:v> Gulosaurus helmi-245Ma </c:v>
                </c:pt>
                <c:pt idx="21">
                  <c:v> Omphalosaurus wolfi-240Ma </c:v>
                </c:pt>
                <c:pt idx="22">
                  <c:v> Cymbospondylus buchseri-240Ma </c:v>
                </c:pt>
                <c:pt idx="23">
                  <c:v> Himalayasaurus tibetensis-215Ma </c:v>
                </c:pt>
                <c:pt idx="24">
                  <c:v> Callawayia neoscapularis-220Ma </c:v>
                </c:pt>
                <c:pt idx="25">
                  <c:v> Phantomosaurus neubigi-245Ma </c:v>
                </c:pt>
                <c:pt idx="26">
                  <c:v> Thaisaurus chonglakmanii-245Ma </c:v>
                </c:pt>
                <c:pt idx="27">
                  <c:v> Shastasaurus pacificus-235Ma </c:v>
                </c:pt>
                <c:pt idx="28">
                  <c:v> Cymbospondylus piscosus-245Ma </c:v>
                </c:pt>
                <c:pt idx="29">
                  <c:v> Himalayasaurus tibetensis-220Ma </c:v>
                </c:pt>
                <c:pt idx="30">
                  <c:v> Shastasaurus tangae-235Ma </c:v>
                </c:pt>
                <c:pt idx="31">
                  <c:v> Omphalosaurus nevadanus-245Ma </c:v>
                </c:pt>
                <c:pt idx="32">
                  <c:v> Grippia longirostris-245Ma </c:v>
                </c:pt>
                <c:pt idx="33">
                  <c:v> Phalarodon fraasi-245Ma </c:v>
                </c:pt>
                <c:pt idx="34">
                  <c:v> Phalarodon atavus-245Ma </c:v>
                </c:pt>
                <c:pt idx="35">
                  <c:v> Callarwayia wolongganagense-230Ma </c:v>
                </c:pt>
                <c:pt idx="36">
                  <c:v> Californosaurus perrini-230Ma </c:v>
                </c:pt>
                <c:pt idx="37">
                  <c:v> Phalarodon fraasi-240Ma </c:v>
                </c:pt>
                <c:pt idx="38">
                  <c:v> Parvinatator wapitiensis-245Ma </c:v>
                </c:pt>
                <c:pt idx="39">
                  <c:v> Cymbospondylus piscosus-240Ma </c:v>
                </c:pt>
                <c:pt idx="40">
                  <c:v> Toretocnemus californicus-230Ma </c:v>
                </c:pt>
                <c:pt idx="41">
                  <c:v> Toretocnemus zitteli-230Ma </c:v>
                </c:pt>
                <c:pt idx="42">
                  <c:v> Shastasaurus tangae-230Ma </c:v>
                </c:pt>
                <c:pt idx="43">
                  <c:v> Xinminosaurus catactes-245Ma </c:v>
                </c:pt>
                <c:pt idx="44">
                  <c:v> Shastasaurus pacificus-230Ma </c:v>
                </c:pt>
                <c:pt idx="45">
                  <c:v> Qianichthyosaurus xingyiensis-235Ma </c:v>
                </c:pt>
                <c:pt idx="46">
                  <c:v> Shonisaurus popularis-230Ma </c:v>
                </c:pt>
                <c:pt idx="47">
                  <c:v> Sclerocormus parviceps-245Ma </c:v>
                </c:pt>
                <c:pt idx="48">
                  <c:v> Barracudasauroides panxianensis-245Ma </c:v>
                </c:pt>
                <c:pt idx="49">
                  <c:v> Chaohusaurus geishanensis-245Ma </c:v>
                </c:pt>
                <c:pt idx="50">
                  <c:v> Chaohusaurus chaoxianensis-245Ma </c:v>
                </c:pt>
                <c:pt idx="51">
                  <c:v> Shastasaurus liangae-235Ma </c:v>
                </c:pt>
                <c:pt idx="52">
                  <c:v> Chaohusaurus zhangjiawanensis-245Ma </c:v>
                </c:pt>
                <c:pt idx="53">
                  <c:v> Qianichthyosaurus zhoui-235Ma </c:v>
                </c:pt>
                <c:pt idx="54">
                  <c:v> Cartorhynchus lenticarpus-245Ma </c:v>
                </c:pt>
                <c:pt idx="55">
                  <c:v> Callarwayia wolongganagense-235Ma </c:v>
                </c:pt>
                <c:pt idx="56">
                  <c:v> Quasianosteosaurus vikinghoegdai-245Ma </c:v>
                </c:pt>
              </c:strCache>
            </c:strRef>
          </c:cat>
          <c:val>
            <c:numRef>
              <c:f>'Baseline Fat Mass Results'!$I$4:$I$60</c:f>
              <c:numCache>
                <c:formatCode>#,##0.0_);[Red]\(#,##0.0\)</c:formatCode>
                <c:ptCount val="57"/>
                <c:pt idx="0">
                  <c:v>569.73426959299252</c:v>
                </c:pt>
                <c:pt idx="1">
                  <c:v>1406.2818760739431</c:v>
                </c:pt>
                <c:pt idx="2">
                  <c:v>241.90502460036183</c:v>
                </c:pt>
                <c:pt idx="3">
                  <c:v>687.44368532741794</c:v>
                </c:pt>
                <c:pt idx="4">
                  <c:v>331.43743107681786</c:v>
                </c:pt>
                <c:pt idx="5">
                  <c:v>348.66353461861473</c:v>
                </c:pt>
                <c:pt idx="6">
                  <c:v>530.34438016060358</c:v>
                </c:pt>
                <c:pt idx="7">
                  <c:v>477.65643040158693</c:v>
                </c:pt>
                <c:pt idx="8">
                  <c:v>303.52719483098394</c:v>
                </c:pt>
                <c:pt idx="9">
                  <c:v>731.37541331156228</c:v>
                </c:pt>
                <c:pt idx="10">
                  <c:v>619.21853463930836</c:v>
                </c:pt>
                <c:pt idx="11">
                  <c:v>607.90458648065635</c:v>
                </c:pt>
                <c:pt idx="12">
                  <c:v>703.37095387893953</c:v>
                </c:pt>
                <c:pt idx="13">
                  <c:v>508.4762980011925</c:v>
                </c:pt>
                <c:pt idx="14">
                  <c:v>403.04683327440438</c:v>
                </c:pt>
                <c:pt idx="15">
                  <c:v>288.71383522469085</c:v>
                </c:pt>
                <c:pt idx="16">
                  <c:v>262.48483616809534</c:v>
                </c:pt>
                <c:pt idx="17">
                  <c:v>387.8649958479561</c:v>
                </c:pt>
                <c:pt idx="18">
                  <c:v>236.12741497932879</c:v>
                </c:pt>
                <c:pt idx="19">
                  <c:v>496.7923132468847</c:v>
                </c:pt>
                <c:pt idx="20">
                  <c:v>228.43937999067066</c:v>
                </c:pt>
                <c:pt idx="21">
                  <c:v>342.05079746565468</c:v>
                </c:pt>
                <c:pt idx="22">
                  <c:v>407.02094825311667</c:v>
                </c:pt>
                <c:pt idx="23">
                  <c:v>600.56345880300239</c:v>
                </c:pt>
                <c:pt idx="24">
                  <c:v>775.87461021627473</c:v>
                </c:pt>
                <c:pt idx="25">
                  <c:v>459.18256860595636</c:v>
                </c:pt>
                <c:pt idx="26">
                  <c:v>171.81246110983733</c:v>
                </c:pt>
                <c:pt idx="27">
                  <c:v>436.89187099658858</c:v>
                </c:pt>
                <c:pt idx="28">
                  <c:v>586.18268335568462</c:v>
                </c:pt>
                <c:pt idx="29">
                  <c:v>510.26852560521723</c:v>
                </c:pt>
                <c:pt idx="30">
                  <c:v>495.19153444363411</c:v>
                </c:pt>
                <c:pt idx="31">
                  <c:v>161.88282794095213</c:v>
                </c:pt>
                <c:pt idx="32">
                  <c:v>187.16180904153535</c:v>
                </c:pt>
                <c:pt idx="33">
                  <c:v>141.82386629166612</c:v>
                </c:pt>
                <c:pt idx="34">
                  <c:v>132.69114501497285</c:v>
                </c:pt>
                <c:pt idx="35">
                  <c:v>159.59697947036727</c:v>
                </c:pt>
                <c:pt idx="36">
                  <c:v>224.52021444972362</c:v>
                </c:pt>
                <c:pt idx="37">
                  <c:v>113.01855842490255</c:v>
                </c:pt>
                <c:pt idx="38">
                  <c:v>95.596063623393732</c:v>
                </c:pt>
                <c:pt idx="39">
                  <c:v>429.03961854872676</c:v>
                </c:pt>
                <c:pt idx="40">
                  <c:v>122.52535294290608</c:v>
                </c:pt>
                <c:pt idx="41">
                  <c:v>162.15411304148847</c:v>
                </c:pt>
                <c:pt idx="42">
                  <c:v>278.54574303892008</c:v>
                </c:pt>
                <c:pt idx="43">
                  <c:v>136.77444191413127</c:v>
                </c:pt>
                <c:pt idx="44">
                  <c:v>187.21629184785505</c:v>
                </c:pt>
                <c:pt idx="45">
                  <c:v>163.33072742190586</c:v>
                </c:pt>
                <c:pt idx="46">
                  <c:v>269.01744912262114</c:v>
                </c:pt>
                <c:pt idx="47">
                  <c:v>85.508187928555046</c:v>
                </c:pt>
                <c:pt idx="48">
                  <c:v>75.302846873514554</c:v>
                </c:pt>
                <c:pt idx="49">
                  <c:v>77.444418415281916</c:v>
                </c:pt>
                <c:pt idx="50">
                  <c:v>63.109806368830483</c:v>
                </c:pt>
                <c:pt idx="51">
                  <c:v>169.11317226146085</c:v>
                </c:pt>
                <c:pt idx="52">
                  <c:v>50.207639719467132</c:v>
                </c:pt>
                <c:pt idx="53">
                  <c:v>92.630716482333767</c:v>
                </c:pt>
                <c:pt idx="54">
                  <c:v>51.32147822916567</c:v>
                </c:pt>
                <c:pt idx="55">
                  <c:v>88.90751076804365</c:v>
                </c:pt>
                <c:pt idx="56">
                  <c:v>23.629167692674592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6-433E-A20E-BF30A22A8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52207"/>
        <c:axId val="811354127"/>
      </c:radarChart>
      <c:catAx>
        <c:axId val="81135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354127"/>
        <c:crosses val="autoZero"/>
        <c:auto val="1"/>
        <c:lblAlgn val="ctr"/>
        <c:lblOffset val="100"/>
        <c:noMultiLvlLbl val="0"/>
      </c:catAx>
      <c:valAx>
        <c:axId val="81135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35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'Baseline Fat Mass Results'!$B$63:$B$96</c:f>
              <c:strCache>
                <c:ptCount val="34"/>
                <c:pt idx="0">
                  <c:v>Cyamodus hildegardis-245Ma</c:v>
                </c:pt>
                <c:pt idx="1">
                  <c:v>Helveticosaurus zollingeri-240Ma</c:v>
                </c:pt>
                <c:pt idx="2">
                  <c:v>Paraplacodus broilli-245Ma</c:v>
                </c:pt>
                <c:pt idx="3">
                  <c:v>Helveticosaurus zollingeri-245Ma</c:v>
                </c:pt>
                <c:pt idx="4">
                  <c:v>Cyamodus muensteri-240Ma</c:v>
                </c:pt>
                <c:pt idx="5">
                  <c:v>Cyamodus kuhnschnyderi-240Ma</c:v>
                </c:pt>
                <c:pt idx="6">
                  <c:v>Cyamodus rostratus-240Ma</c:v>
                </c:pt>
                <c:pt idx="7">
                  <c:v>Henodus chelyops-240Ma</c:v>
                </c:pt>
                <c:pt idx="8">
                  <c:v>Placochelys placodonta-240Ma</c:v>
                </c:pt>
                <c:pt idx="9">
                  <c:v>Placodus gigas-240Ma</c:v>
                </c:pt>
                <c:pt idx="10">
                  <c:v>Psephosauriscus mosis-245Ma</c:v>
                </c:pt>
                <c:pt idx="11">
                  <c:v>Eusaurosphargis dalsassoi-245Ma</c:v>
                </c:pt>
                <c:pt idx="12">
                  <c:v>Psephosauriscus ramonensis-245Ma</c:v>
                </c:pt>
                <c:pt idx="13">
                  <c:v>Psephosauriscus sinaiticus-245Ma</c:v>
                </c:pt>
                <c:pt idx="14">
                  <c:v>Psephosauriscus rhombifer-240Ma</c:v>
                </c:pt>
                <c:pt idx="15">
                  <c:v>Henodus chelyops-235Ma</c:v>
                </c:pt>
                <c:pt idx="16">
                  <c:v>Atopodentatus unicus-245Ma</c:v>
                </c:pt>
                <c:pt idx="17">
                  <c:v>Pararcus diepenbroek-240Ma</c:v>
                </c:pt>
                <c:pt idx="18">
                  <c:v>Psephoderma alpinum-20Ma5Ma</c:v>
                </c:pt>
                <c:pt idx="19">
                  <c:v>Psephoderma alpinum-215Ma</c:v>
                </c:pt>
                <c:pt idx="20">
                  <c:v>Cyamodus rostratus-245Ma</c:v>
                </c:pt>
                <c:pt idx="21">
                  <c:v>Psephoderma alpinum-210Ma</c:v>
                </c:pt>
                <c:pt idx="22">
                  <c:v>Placochelys placodonta-235Ma</c:v>
                </c:pt>
                <c:pt idx="23">
                  <c:v>Placodus inexpectatus-245Ma</c:v>
                </c:pt>
                <c:pt idx="24">
                  <c:v>Glyphoderma kangi-240Ma</c:v>
                </c:pt>
                <c:pt idx="25">
                  <c:v>Cyamodus muensteri-245Ma</c:v>
                </c:pt>
                <c:pt idx="26">
                  <c:v>Pararcus diepenbroek-245Ma</c:v>
                </c:pt>
                <c:pt idx="27">
                  <c:v>Macroplacus raeticus-20Ma5Ma</c:v>
                </c:pt>
                <c:pt idx="28">
                  <c:v>Placodus gigas-245Ma</c:v>
                </c:pt>
                <c:pt idx="29">
                  <c:v>Palatodonta bleekeri--245Ma</c:v>
                </c:pt>
                <c:pt idx="30">
                  <c:v>Glyphoderma kangi-235Ma</c:v>
                </c:pt>
                <c:pt idx="31">
                  <c:v>Cyamodus orientalis-235Ma</c:v>
                </c:pt>
                <c:pt idx="32">
                  <c:v>Sinocyamodus xinpuensis-235Ma</c:v>
                </c:pt>
                <c:pt idx="33">
                  <c:v>Psephochelys polyosteoderma-235Ma</c:v>
                </c:pt>
              </c:strCache>
            </c:strRef>
          </c:cat>
          <c:val>
            <c:numRef>
              <c:f>'Baseline Fat Mass Results'!$I$63:$I$96</c:f>
              <c:numCache>
                <c:formatCode>#,##0.0_);[Red]\(#,##0.0\)</c:formatCode>
                <c:ptCount val="34"/>
                <c:pt idx="0">
                  <c:v>359.09811330341671</c:v>
                </c:pt>
                <c:pt idx="1">
                  <c:v>570.8783671418006</c:v>
                </c:pt>
                <c:pt idx="2">
                  <c:v>306.8103844164159</c:v>
                </c:pt>
                <c:pt idx="3">
                  <c:v>469.95873804852181</c:v>
                </c:pt>
                <c:pt idx="4">
                  <c:v>306.53019488118287</c:v>
                </c:pt>
                <c:pt idx="5">
                  <c:v>334.91134038179359</c:v>
                </c:pt>
                <c:pt idx="6">
                  <c:v>299.23403383413273</c:v>
                </c:pt>
                <c:pt idx="7">
                  <c:v>335.71024843157687</c:v>
                </c:pt>
                <c:pt idx="8">
                  <c:v>217.39722193504824</c:v>
                </c:pt>
                <c:pt idx="9">
                  <c:v>285.88034610956913</c:v>
                </c:pt>
                <c:pt idx="10">
                  <c:v>186.31025092622471</c:v>
                </c:pt>
                <c:pt idx="11">
                  <c:v>190.74632685068619</c:v>
                </c:pt>
                <c:pt idx="12">
                  <c:v>172.00184376414526</c:v>
                </c:pt>
                <c:pt idx="13">
                  <c:v>180.93815851222229</c:v>
                </c:pt>
                <c:pt idx="14">
                  <c:v>225.05609228525191</c:v>
                </c:pt>
                <c:pt idx="15">
                  <c:v>219.2643789891699</c:v>
                </c:pt>
                <c:pt idx="16">
                  <c:v>162.40736123163663</c:v>
                </c:pt>
                <c:pt idx="17">
                  <c:v>175.96938029599414</c:v>
                </c:pt>
                <c:pt idx="18">
                  <c:v>136.1234504847468</c:v>
                </c:pt>
                <c:pt idx="19">
                  <c:v>134.49337966456017</c:v>
                </c:pt>
                <c:pt idx="20">
                  <c:v>167.57144066142098</c:v>
                </c:pt>
                <c:pt idx="21">
                  <c:v>132.96460468749234</c:v>
                </c:pt>
                <c:pt idx="22">
                  <c:v>136.08821917981112</c:v>
                </c:pt>
                <c:pt idx="23">
                  <c:v>137.11997588565492</c:v>
                </c:pt>
                <c:pt idx="24">
                  <c:v>88.858407946629725</c:v>
                </c:pt>
                <c:pt idx="25">
                  <c:v>156.62704790550521</c:v>
                </c:pt>
                <c:pt idx="26">
                  <c:v>119.29549712495884</c:v>
                </c:pt>
                <c:pt idx="27">
                  <c:v>73.959662002340863</c:v>
                </c:pt>
                <c:pt idx="28">
                  <c:v>152.52499920613465</c:v>
                </c:pt>
                <c:pt idx="29">
                  <c:v>108.5799983437622</c:v>
                </c:pt>
                <c:pt idx="30">
                  <c:v>81.706247526943272</c:v>
                </c:pt>
                <c:pt idx="31">
                  <c:v>91.225095799808798</c:v>
                </c:pt>
                <c:pt idx="32">
                  <c:v>79.121366599102913</c:v>
                </c:pt>
                <c:pt idx="33">
                  <c:v>82.016227080274845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8-4627-902C-42A7C7DF2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4171376"/>
        <c:axId val="974180016"/>
      </c:radarChart>
      <c:catAx>
        <c:axId val="97417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4180016"/>
        <c:crosses val="autoZero"/>
        <c:auto val="1"/>
        <c:lblAlgn val="ctr"/>
        <c:lblOffset val="100"/>
        <c:noMultiLvlLbl val="0"/>
      </c:catAx>
      <c:valAx>
        <c:axId val="97418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417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446875431304431"/>
          <c:y val="9.0153851149418832E-2"/>
          <c:w val="0.70050206436605267"/>
          <c:h val="0.84093538767933584"/>
        </c:manualLayout>
      </c:layout>
      <c:radarChart>
        <c:radarStyle val="marker"/>
        <c:varyColors val="0"/>
        <c:ser>
          <c:idx val="0"/>
          <c:order val="0"/>
          <c:tx>
            <c:strRef>
              <c:f>'Baseline Fat Mass Results'!$I$99</c:f>
              <c:strCache>
                <c:ptCount val="1"/>
                <c:pt idx="0">
                  <c:v>Average annual migration distance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'Baseline Fat Mass Results'!$B$100:$B$156</c:f>
              <c:strCache>
                <c:ptCount val="57"/>
                <c:pt idx="0">
                  <c:v> Utatsusaurus hataii-245Ma </c:v>
                </c:pt>
                <c:pt idx="1">
                  <c:v> Parvinatator wapitiensis-240Ma </c:v>
                </c:pt>
                <c:pt idx="2">
                  <c:v> Phalarodon callawayi-240Ma </c:v>
                </c:pt>
                <c:pt idx="3">
                  <c:v> Mikadocephalus gracilirostris-240Ma </c:v>
                </c:pt>
                <c:pt idx="4">
                  <c:v> Mikadocephalus gracilirostris-245Ma </c:v>
                </c:pt>
                <c:pt idx="5">
                  <c:v> Hudsonelpidia brevirostris-225Ma </c:v>
                </c:pt>
                <c:pt idx="6">
                  <c:v> Mixosaurus cornalianus-240Ma </c:v>
                </c:pt>
                <c:pt idx="7">
                  <c:v> Besanosaurus leptorhynchus-240Ma </c:v>
                </c:pt>
                <c:pt idx="8">
                  <c:v> Macgowania janiceps-220Ma </c:v>
                </c:pt>
                <c:pt idx="9">
                  <c:v> Mixosaurus cornalianus-245Ma </c:v>
                </c:pt>
                <c:pt idx="10">
                  <c:v> Shastasaurus sikanniensis-215Ma </c:v>
                </c:pt>
                <c:pt idx="11">
                  <c:v> Phalarodon callawayi-245Ma </c:v>
                </c:pt>
                <c:pt idx="12">
                  <c:v> Phantomosaurus neubigi-245Ma </c:v>
                </c:pt>
                <c:pt idx="13">
                  <c:v> Omphalosaurus nevadanus-245Ma </c:v>
                </c:pt>
                <c:pt idx="14">
                  <c:v> Cymbospondylus buchseri-240Ma </c:v>
                </c:pt>
                <c:pt idx="15">
                  <c:v> Phalarodon fraasi-245Ma </c:v>
                </c:pt>
                <c:pt idx="16">
                  <c:v> Besanosaurus leptorhynchus-245Ma </c:v>
                </c:pt>
                <c:pt idx="17">
                  <c:v> Callarwayia wolongganagense-230Ma </c:v>
                </c:pt>
                <c:pt idx="18">
                  <c:v> Himalayasaurus tibetensis-220Ma </c:v>
                </c:pt>
                <c:pt idx="19">
                  <c:v> Shastasaurus tangae-235Ma </c:v>
                </c:pt>
                <c:pt idx="20">
                  <c:v> Callawayia neoscapularis-220Ma </c:v>
                </c:pt>
                <c:pt idx="21">
                  <c:v> Cymbospondylus nichollsi-240Ma </c:v>
                </c:pt>
                <c:pt idx="22">
                  <c:v> Cymbospondylus duelferi-240Ma </c:v>
                </c:pt>
                <c:pt idx="23">
                  <c:v> Hudsonelpidia brevirostris-220Ma </c:v>
                </c:pt>
                <c:pt idx="24">
                  <c:v> Cymbospondylus duelferi-245Ma </c:v>
                </c:pt>
                <c:pt idx="25">
                  <c:v> Parvinatator wapitiensis-245Ma </c:v>
                </c:pt>
                <c:pt idx="26">
                  <c:v> Cymbospondylus piscosus-245Ma </c:v>
                </c:pt>
                <c:pt idx="27">
                  <c:v> Phalarodon atavus-245Ma </c:v>
                </c:pt>
                <c:pt idx="28">
                  <c:v> Himalayasaurus tibetensis-215Ma </c:v>
                </c:pt>
                <c:pt idx="29">
                  <c:v> Omphalosaurus wolfi-240Ma </c:v>
                </c:pt>
                <c:pt idx="30">
                  <c:v> Thalattoarchon saurophagis-245Ma </c:v>
                </c:pt>
                <c:pt idx="31">
                  <c:v> Grippia longirostris-245Ma </c:v>
                </c:pt>
                <c:pt idx="32">
                  <c:v> Phalarodon fraasi-240Ma </c:v>
                </c:pt>
                <c:pt idx="33">
                  <c:v> Cymbospondylus nichollsi-245Ma </c:v>
                </c:pt>
                <c:pt idx="34">
                  <c:v> Gulosaurus helmi-245Ma </c:v>
                </c:pt>
                <c:pt idx="35">
                  <c:v> Californosaurus perrini-230Ma </c:v>
                </c:pt>
                <c:pt idx="36">
                  <c:v> Thaisaurus chonglakmanii-245Ma </c:v>
                </c:pt>
                <c:pt idx="37">
                  <c:v> Cymbospondylus piscosus-240Ma </c:v>
                </c:pt>
                <c:pt idx="38">
                  <c:v> Toretocnemus californicus-230Ma </c:v>
                </c:pt>
                <c:pt idx="39">
                  <c:v> Cymbospondylus buchseri-245Ma </c:v>
                </c:pt>
                <c:pt idx="40">
                  <c:v> Toretocnemus zitteli-230Ma </c:v>
                </c:pt>
                <c:pt idx="41">
                  <c:v> Shastasaurus tangae-230Ma </c:v>
                </c:pt>
                <c:pt idx="42">
                  <c:v> Shastasaurus pacificus-235Ma </c:v>
                </c:pt>
                <c:pt idx="43">
                  <c:v> Qianichthyosaurus xingyiensis-235Ma </c:v>
                </c:pt>
                <c:pt idx="44">
                  <c:v> Xinminosaurus catactes-245Ma </c:v>
                </c:pt>
                <c:pt idx="45">
                  <c:v> Sclerocormus parviceps-245Ma </c:v>
                </c:pt>
                <c:pt idx="46">
                  <c:v> Chaohusaurus chaoxianensis-245Ma </c:v>
                </c:pt>
                <c:pt idx="47">
                  <c:v> Barracudasauroides panxianensis-245Ma </c:v>
                </c:pt>
                <c:pt idx="48">
                  <c:v> Shastasaurus liangae-235Ma </c:v>
                </c:pt>
                <c:pt idx="49">
                  <c:v> Chaohusaurus zhangjiawanensis-245Ma </c:v>
                </c:pt>
                <c:pt idx="50">
                  <c:v> Shastasaurus pacificus-230Ma </c:v>
                </c:pt>
                <c:pt idx="51">
                  <c:v> Chaohusaurus geishanensis-245Ma </c:v>
                </c:pt>
                <c:pt idx="52">
                  <c:v> Cartorhynchus lenticarpus-245Ma </c:v>
                </c:pt>
                <c:pt idx="53">
                  <c:v> Shonisaurus popularis-230Ma </c:v>
                </c:pt>
                <c:pt idx="54">
                  <c:v> Qianichthyosaurus zhoui-235Ma </c:v>
                </c:pt>
                <c:pt idx="55">
                  <c:v> Quasianosteosaurus vikinghoegdai-245Ma </c:v>
                </c:pt>
                <c:pt idx="56">
                  <c:v> Callarwayia wolongganagense-235Ma </c:v>
                </c:pt>
              </c:strCache>
            </c:strRef>
          </c:cat>
          <c:val>
            <c:numRef>
              <c:f>'Baseline Fat Mass Results'!$I$100:$I$156</c:f>
              <c:numCache>
                <c:formatCode>#,##0.0_);[Red]\(#,##0.0\)</c:formatCode>
                <c:ptCount val="57"/>
                <c:pt idx="0">
                  <c:v>626.17496989089807</c:v>
                </c:pt>
                <c:pt idx="1">
                  <c:v>241.21386385689749</c:v>
                </c:pt>
                <c:pt idx="2">
                  <c:v>277.63112112202714</c:v>
                </c:pt>
                <c:pt idx="3">
                  <c:v>271.6256102520444</c:v>
                </c:pt>
                <c:pt idx="4">
                  <c:v>253.23277783139793</c:v>
                </c:pt>
                <c:pt idx="5">
                  <c:v>337.64249076523782</c:v>
                </c:pt>
                <c:pt idx="6">
                  <c:v>222.38978719340241</c:v>
                </c:pt>
                <c:pt idx="7">
                  <c:v>591.38326622868578</c:v>
                </c:pt>
                <c:pt idx="8">
                  <c:v>345.5111543700919</c:v>
                </c:pt>
                <c:pt idx="9">
                  <c:v>173.16216199782684</c:v>
                </c:pt>
                <c:pt idx="10">
                  <c:v>713.96437190318898</c:v>
                </c:pt>
                <c:pt idx="11">
                  <c:v>161.6845000202498</c:v>
                </c:pt>
                <c:pt idx="12">
                  <c:v>298.37157515931011</c:v>
                </c:pt>
                <c:pt idx="13">
                  <c:v>141.77504184133556</c:v>
                </c:pt>
                <c:pt idx="14">
                  <c:v>270.48316140253291</c:v>
                </c:pt>
                <c:pt idx="15">
                  <c:v>130.99968311743496</c:v>
                </c:pt>
                <c:pt idx="16">
                  <c:v>344.2848391416403</c:v>
                </c:pt>
                <c:pt idx="17">
                  <c:v>122.16982908363585</c:v>
                </c:pt>
                <c:pt idx="18">
                  <c:v>382.4570557887223</c:v>
                </c:pt>
                <c:pt idx="19">
                  <c:v>362.01334915320041</c:v>
                </c:pt>
                <c:pt idx="20">
                  <c:v>432.69981210995479</c:v>
                </c:pt>
                <c:pt idx="21">
                  <c:v>237.78320008048536</c:v>
                </c:pt>
                <c:pt idx="22">
                  <c:v>169.10205568031625</c:v>
                </c:pt>
                <c:pt idx="23">
                  <c:v>121.07774163655522</c:v>
                </c:pt>
                <c:pt idx="24">
                  <c:v>148.06405397647978</c:v>
                </c:pt>
                <c:pt idx="25">
                  <c:v>65.104735984107691</c:v>
                </c:pt>
                <c:pt idx="26">
                  <c:v>318.97911824994577</c:v>
                </c:pt>
                <c:pt idx="27">
                  <c:v>72.587773428324681</c:v>
                </c:pt>
                <c:pt idx="28">
                  <c:v>270.42425502502988</c:v>
                </c:pt>
                <c:pt idx="29">
                  <c:v>114.73270854728852</c:v>
                </c:pt>
                <c:pt idx="30">
                  <c:v>191.35221914923022</c:v>
                </c:pt>
                <c:pt idx="31">
                  <c:v>76.635591208421957</c:v>
                </c:pt>
                <c:pt idx="32">
                  <c:v>64.50393598104435</c:v>
                </c:pt>
                <c:pt idx="33">
                  <c:v>161.10348519561592</c:v>
                </c:pt>
                <c:pt idx="34">
                  <c:v>65.975888516346927</c:v>
                </c:pt>
                <c:pt idx="35">
                  <c:v>108.74128035545959</c:v>
                </c:pt>
                <c:pt idx="36">
                  <c:v>60.753378152168942</c:v>
                </c:pt>
                <c:pt idx="37">
                  <c:v>252.75938476873128</c:v>
                </c:pt>
                <c:pt idx="38">
                  <c:v>55.044845667678771</c:v>
                </c:pt>
                <c:pt idx="39">
                  <c:v>121.39203944249574</c:v>
                </c:pt>
                <c:pt idx="40">
                  <c:v>79.518257621023537</c:v>
                </c:pt>
                <c:pt idx="41">
                  <c:v>184.0030378680635</c:v>
                </c:pt>
                <c:pt idx="42">
                  <c:v>170.67827494583079</c:v>
                </c:pt>
                <c:pt idx="43">
                  <c:v>75.121982542406244</c:v>
                </c:pt>
                <c:pt idx="44">
                  <c:v>79.849773668519589</c:v>
                </c:pt>
                <c:pt idx="45">
                  <c:v>55.348583586914962</c:v>
                </c:pt>
                <c:pt idx="46">
                  <c:v>51.60330337276342</c:v>
                </c:pt>
                <c:pt idx="47">
                  <c:v>57.920710049364494</c:v>
                </c:pt>
                <c:pt idx="48">
                  <c:v>159.36520522543367</c:v>
                </c:pt>
                <c:pt idx="49">
                  <c:v>40.005935361532437</c:v>
                </c:pt>
                <c:pt idx="50">
                  <c:v>116.18050958138406</c:v>
                </c:pt>
                <c:pt idx="51">
                  <c:v>53.697541354096401</c:v>
                </c:pt>
                <c:pt idx="52">
                  <c:v>48.317527520844557</c:v>
                </c:pt>
                <c:pt idx="53">
                  <c:v>167.16551841552413</c:v>
                </c:pt>
                <c:pt idx="54">
                  <c:v>55.57463410568964</c:v>
                </c:pt>
                <c:pt idx="55">
                  <c:v>21.426222608254992</c:v>
                </c:pt>
                <c:pt idx="56">
                  <c:v>48.340623042214069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F-4D3F-BEB9-EE45D345B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3311"/>
        <c:axId val="11493791"/>
      </c:radarChart>
      <c:catAx>
        <c:axId val="1149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93791"/>
        <c:crosses val="autoZero"/>
        <c:auto val="1"/>
        <c:lblAlgn val="ctr"/>
        <c:lblOffset val="100"/>
        <c:noMultiLvlLbl val="0"/>
      </c:catAx>
      <c:valAx>
        <c:axId val="1149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9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'Baseline Fat Mass Results'!$B$158:$B$191</c:f>
              <c:strCache>
                <c:ptCount val="34"/>
                <c:pt idx="0">
                  <c:v>Cyamodus hildegardis-245Ma</c:v>
                </c:pt>
                <c:pt idx="1">
                  <c:v>Helveticosaurus zollingeri-240Ma</c:v>
                </c:pt>
                <c:pt idx="2">
                  <c:v>Cyamodus kuhnschnyderi-240Ma</c:v>
                </c:pt>
                <c:pt idx="3">
                  <c:v>Paraplacodus broilli-245Ma</c:v>
                </c:pt>
                <c:pt idx="4">
                  <c:v>Cyamodus rostratus-240Ma</c:v>
                </c:pt>
                <c:pt idx="5">
                  <c:v>Cyamodus muensteri-240Ma</c:v>
                </c:pt>
                <c:pt idx="6">
                  <c:v>Helveticosaurus zollingeri-245Ma</c:v>
                </c:pt>
                <c:pt idx="7">
                  <c:v>Eusaurosphargis dalsassoi-245Ma</c:v>
                </c:pt>
                <c:pt idx="8">
                  <c:v>Henodus chelyops-240Ma</c:v>
                </c:pt>
                <c:pt idx="9">
                  <c:v>Placochelys placodonta-240Ma</c:v>
                </c:pt>
                <c:pt idx="10">
                  <c:v>Psephosauriscus rhombifer-240Ma</c:v>
                </c:pt>
                <c:pt idx="11">
                  <c:v>Psephosauriscus ramonensis-245Ma</c:v>
                </c:pt>
                <c:pt idx="12">
                  <c:v>Placodus gigas-240Ma</c:v>
                </c:pt>
                <c:pt idx="13">
                  <c:v>Psephosauriscus mosis-245Ma</c:v>
                </c:pt>
                <c:pt idx="14">
                  <c:v>Psephosauriscus sinaiticus-245Ma</c:v>
                </c:pt>
                <c:pt idx="15">
                  <c:v>Atopodentatus unicus-245Ma</c:v>
                </c:pt>
                <c:pt idx="16">
                  <c:v>Pararcus diepenbroek-240Ma</c:v>
                </c:pt>
                <c:pt idx="17">
                  <c:v>Psephoderma alpinum-20Ma5Ma</c:v>
                </c:pt>
                <c:pt idx="18">
                  <c:v>Psephoderma alpinum-210Ma</c:v>
                </c:pt>
                <c:pt idx="19">
                  <c:v>Henodus chelyops-235Ma</c:v>
                </c:pt>
                <c:pt idx="20">
                  <c:v>Psephoderma alpinum-215Ma</c:v>
                </c:pt>
                <c:pt idx="21">
                  <c:v>Macroplacus raeticus-20Ma5Ma</c:v>
                </c:pt>
                <c:pt idx="22">
                  <c:v>Glyphoderma kangi-240Ma</c:v>
                </c:pt>
                <c:pt idx="23">
                  <c:v>Placodus inexpectatus-245Ma</c:v>
                </c:pt>
                <c:pt idx="24">
                  <c:v>Placochelys placodonta-235Ma</c:v>
                </c:pt>
                <c:pt idx="25">
                  <c:v>Cyamodus rostratus-245Ma</c:v>
                </c:pt>
                <c:pt idx="26">
                  <c:v>Placodus gigas-245Ma</c:v>
                </c:pt>
                <c:pt idx="27">
                  <c:v>Cyamodus muensteri-245Ma</c:v>
                </c:pt>
                <c:pt idx="28">
                  <c:v>Pararcus diepenbroek-245Ma</c:v>
                </c:pt>
                <c:pt idx="29">
                  <c:v>Sinocyamodus xinpuensis-235Ma</c:v>
                </c:pt>
                <c:pt idx="30">
                  <c:v>Palatodonta bleekeri--245Ma</c:v>
                </c:pt>
                <c:pt idx="31">
                  <c:v>Glyphoderma kangi-235Ma</c:v>
                </c:pt>
                <c:pt idx="32">
                  <c:v>Psephochelys polyosteoderma-235Ma</c:v>
                </c:pt>
                <c:pt idx="33">
                  <c:v>Cyamodus orientalis-235Ma</c:v>
                </c:pt>
              </c:strCache>
            </c:strRef>
          </c:cat>
          <c:val>
            <c:numRef>
              <c:f>'Baseline Fat Mass Results'!$I$158:$I$191</c:f>
              <c:numCache>
                <c:formatCode>#,##0.0_);[Red]\(#,##0.0\)</c:formatCode>
                <c:ptCount val="34"/>
                <c:pt idx="0">
                  <c:v>301.00273355509665</c:v>
                </c:pt>
                <c:pt idx="1">
                  <c:v>463.73711063183657</c:v>
                </c:pt>
                <c:pt idx="2">
                  <c:v>291.33687065622956</c:v>
                </c:pt>
                <c:pt idx="3">
                  <c:v>246.14564559491242</c:v>
                </c:pt>
                <c:pt idx="4">
                  <c:v>249.46383277102393</c:v>
                </c:pt>
                <c:pt idx="5">
                  <c:v>230.16406686045755</c:v>
                </c:pt>
                <c:pt idx="6">
                  <c:v>330.29431776277858</c:v>
                </c:pt>
                <c:pt idx="7">
                  <c:v>147.13570523123562</c:v>
                </c:pt>
                <c:pt idx="8">
                  <c:v>207.91721176150409</c:v>
                </c:pt>
                <c:pt idx="9">
                  <c:v>134.53877910544657</c:v>
                </c:pt>
                <c:pt idx="10">
                  <c:v>159.41433110810678</c:v>
                </c:pt>
                <c:pt idx="11">
                  <c:v>106.08349784189743</c:v>
                </c:pt>
                <c:pt idx="12">
                  <c:v>120.48524696185507</c:v>
                </c:pt>
                <c:pt idx="13">
                  <c:v>90.591333844144543</c:v>
                </c:pt>
                <c:pt idx="14">
                  <c:v>92.928437296973385</c:v>
                </c:pt>
                <c:pt idx="15">
                  <c:v>103.34536142613989</c:v>
                </c:pt>
                <c:pt idx="16">
                  <c:v>78.420002534994609</c:v>
                </c:pt>
                <c:pt idx="17">
                  <c:v>83.542273081627442</c:v>
                </c:pt>
                <c:pt idx="18">
                  <c:v>83.445224635625578</c:v>
                </c:pt>
                <c:pt idx="19">
                  <c:v>91.123684693844339</c:v>
                </c:pt>
                <c:pt idx="20">
                  <c:v>82.632761164040659</c:v>
                </c:pt>
                <c:pt idx="21">
                  <c:v>59.4881838559904</c:v>
                </c:pt>
                <c:pt idx="22">
                  <c:v>51.662599009800594</c:v>
                </c:pt>
                <c:pt idx="23">
                  <c:v>88.010797366565143</c:v>
                </c:pt>
                <c:pt idx="24">
                  <c:v>57.553540802685362</c:v>
                </c:pt>
                <c:pt idx="25">
                  <c:v>67.261323506905569</c:v>
                </c:pt>
                <c:pt idx="26">
                  <c:v>73.550966114922545</c:v>
                </c:pt>
                <c:pt idx="27">
                  <c:v>62.511246694486196</c:v>
                </c:pt>
                <c:pt idx="28">
                  <c:v>51.031617873223027</c:v>
                </c:pt>
                <c:pt idx="29">
                  <c:v>48.742545356038001</c:v>
                </c:pt>
                <c:pt idx="30">
                  <c:v>46.404323989068239</c:v>
                </c:pt>
                <c:pt idx="31">
                  <c:v>42.998080574124771</c:v>
                </c:pt>
                <c:pt idx="32">
                  <c:v>45.554150131079311</c:v>
                </c:pt>
                <c:pt idx="33">
                  <c:v>50.815083109404682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5-42E5-B816-A2C89B7CE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946159"/>
        <c:axId val="966948559"/>
      </c:radarChart>
      <c:catAx>
        <c:axId val="96694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6948559"/>
        <c:crosses val="autoZero"/>
        <c:auto val="1"/>
        <c:lblAlgn val="ctr"/>
        <c:lblOffset val="100"/>
        <c:noMultiLvlLbl val="0"/>
      </c:catAx>
      <c:valAx>
        <c:axId val="96694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694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661903576981247E-2"/>
          <c:y val="1.752334422502887E-2"/>
          <c:w val="0.93480311820084017"/>
          <c:h val="0.672692656691296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'Baseline Fat Mass Results'!$G$3</c:f>
              <c:strCache>
                <c:ptCount val="1"/>
                <c:pt idx="0">
                  <c:v>平均迁移距离(km/Agent)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'Baseline Fat Mass Results'!$B$4:$B$60</c:f>
              <c:strCache>
                <c:ptCount val="57"/>
                <c:pt idx="0">
                  <c:v> Utatsusaurus hataii-245MaMa </c:v>
                </c:pt>
                <c:pt idx="1">
                  <c:v> Shastasaurus sikanniensis-215Ma </c:v>
                </c:pt>
                <c:pt idx="2">
                  <c:v> Parvinatator wapitiensis-240Ma </c:v>
                </c:pt>
                <c:pt idx="3">
                  <c:v> Cymbospondylus nichollsi-240Ma </c:v>
                </c:pt>
                <c:pt idx="4">
                  <c:v> Mixosaurus cornalianus-240Ma </c:v>
                </c:pt>
                <c:pt idx="5">
                  <c:v> Phalarodon callawayi-240Ma </c:v>
                </c:pt>
                <c:pt idx="6">
                  <c:v> Macgowania janiceps-220Ma </c:v>
                </c:pt>
                <c:pt idx="7">
                  <c:v> Cymbospondylus duelferi-240Ma </c:v>
                </c:pt>
                <c:pt idx="8">
                  <c:v> Mikadocephalus gracilirostris-245Ma </c:v>
                </c:pt>
                <c:pt idx="9">
                  <c:v> Besanosaurus leptorhynchus-240Ma </c:v>
                </c:pt>
                <c:pt idx="10">
                  <c:v> Hudsonelpidia brevirostris-225Ma </c:v>
                </c:pt>
                <c:pt idx="11">
                  <c:v> Thalattoarchon saurophagis-245Ma </c:v>
                </c:pt>
                <c:pt idx="12">
                  <c:v> Besanosaurus leptorhynchus-245Ma </c:v>
                </c:pt>
                <c:pt idx="13">
                  <c:v> Cymbospondylus buchseri-245Ma </c:v>
                </c:pt>
                <c:pt idx="14">
                  <c:v> Cymbospondylus duelferi-245Ma </c:v>
                </c:pt>
                <c:pt idx="15">
                  <c:v> Mikadocephalus gracilirostris-240Ma </c:v>
                </c:pt>
                <c:pt idx="16">
                  <c:v> Phalarodon callawayi-245Ma </c:v>
                </c:pt>
                <c:pt idx="17">
                  <c:v> Hudsonelpidia brevirostris-220Ma </c:v>
                </c:pt>
                <c:pt idx="18">
                  <c:v> Mixosaurus cornalianus-245Ma </c:v>
                </c:pt>
                <c:pt idx="19">
                  <c:v> Cymbospondylus nichollsi-245Ma </c:v>
                </c:pt>
                <c:pt idx="20">
                  <c:v> Gulosaurus helmi-245Ma </c:v>
                </c:pt>
                <c:pt idx="21">
                  <c:v> Omphalosaurus wolfi-240Ma </c:v>
                </c:pt>
                <c:pt idx="22">
                  <c:v> Cymbospondylus buchseri-240Ma </c:v>
                </c:pt>
                <c:pt idx="23">
                  <c:v> Himalayasaurus tibetensis-215Ma </c:v>
                </c:pt>
                <c:pt idx="24">
                  <c:v> Callawayia neoscapularis-220Ma </c:v>
                </c:pt>
                <c:pt idx="25">
                  <c:v> Phantomosaurus neubigi-245Ma </c:v>
                </c:pt>
                <c:pt idx="26">
                  <c:v> Thaisaurus chonglakmanii-245Ma </c:v>
                </c:pt>
                <c:pt idx="27">
                  <c:v> Shastasaurus pacificus-235Ma </c:v>
                </c:pt>
                <c:pt idx="28">
                  <c:v> Cymbospondylus piscosus-245Ma </c:v>
                </c:pt>
                <c:pt idx="29">
                  <c:v> Himalayasaurus tibetensis-220Ma </c:v>
                </c:pt>
                <c:pt idx="30">
                  <c:v> Shastasaurus tangae-235Ma </c:v>
                </c:pt>
                <c:pt idx="31">
                  <c:v> Omphalosaurus nevadanus-245Ma </c:v>
                </c:pt>
                <c:pt idx="32">
                  <c:v> Grippia longirostris-245Ma </c:v>
                </c:pt>
                <c:pt idx="33">
                  <c:v> Phalarodon fraasi-245Ma </c:v>
                </c:pt>
                <c:pt idx="34">
                  <c:v> Phalarodon atavus-245Ma </c:v>
                </c:pt>
                <c:pt idx="35">
                  <c:v> Callarwayia wolongganagense-230Ma </c:v>
                </c:pt>
                <c:pt idx="36">
                  <c:v> Californosaurus perrini-230Ma </c:v>
                </c:pt>
                <c:pt idx="37">
                  <c:v> Phalarodon fraasi-240Ma </c:v>
                </c:pt>
                <c:pt idx="38">
                  <c:v> Parvinatator wapitiensis-245Ma </c:v>
                </c:pt>
                <c:pt idx="39">
                  <c:v> Cymbospondylus piscosus-240Ma </c:v>
                </c:pt>
                <c:pt idx="40">
                  <c:v> Toretocnemus californicus-230Ma </c:v>
                </c:pt>
                <c:pt idx="41">
                  <c:v> Toretocnemus zitteli-230Ma </c:v>
                </c:pt>
                <c:pt idx="42">
                  <c:v> Shastasaurus tangae-230Ma </c:v>
                </c:pt>
                <c:pt idx="43">
                  <c:v> Xinminosaurus catactes-245Ma </c:v>
                </c:pt>
                <c:pt idx="44">
                  <c:v> Shastasaurus pacificus-230Ma </c:v>
                </c:pt>
                <c:pt idx="45">
                  <c:v> Qianichthyosaurus xingyiensis-235Ma </c:v>
                </c:pt>
                <c:pt idx="46">
                  <c:v> Shonisaurus popularis-230Ma </c:v>
                </c:pt>
                <c:pt idx="47">
                  <c:v> Sclerocormus parviceps-245Ma </c:v>
                </c:pt>
                <c:pt idx="48">
                  <c:v> Barracudasauroides panxianensis-245Ma </c:v>
                </c:pt>
                <c:pt idx="49">
                  <c:v> Chaohusaurus geishanensis-245Ma </c:v>
                </c:pt>
                <c:pt idx="50">
                  <c:v> Chaohusaurus chaoxianensis-245Ma </c:v>
                </c:pt>
                <c:pt idx="51">
                  <c:v> Shastasaurus liangae-235Ma </c:v>
                </c:pt>
                <c:pt idx="52">
                  <c:v> Chaohusaurus zhangjiawanensis-245Ma </c:v>
                </c:pt>
                <c:pt idx="53">
                  <c:v> Qianichthyosaurus zhoui-235Ma </c:v>
                </c:pt>
                <c:pt idx="54">
                  <c:v> Cartorhynchus lenticarpus-245Ma </c:v>
                </c:pt>
                <c:pt idx="55">
                  <c:v> Callarwayia wolongganagense-235Ma </c:v>
                </c:pt>
                <c:pt idx="56">
                  <c:v> Quasianosteosaurus vikinghoegdai-245Ma </c:v>
                </c:pt>
              </c:strCache>
            </c:strRef>
          </c:cat>
          <c:val>
            <c:numRef>
              <c:f>'Baseline Fat Mass Results'!$G$4:$G$60</c:f>
              <c:numCache>
                <c:formatCode>General</c:formatCode>
                <c:ptCount val="57"/>
                <c:pt idx="0">
                  <c:v>6472.1062008417002</c:v>
                </c:pt>
                <c:pt idx="1">
                  <c:v>5109.0294157107101</c:v>
                </c:pt>
                <c:pt idx="2">
                  <c:v>4728.7388114739306</c:v>
                </c:pt>
                <c:pt idx="3">
                  <c:v>4693.6996318008005</c:v>
                </c:pt>
                <c:pt idx="4">
                  <c:v>4538.411195896545</c:v>
                </c:pt>
                <c:pt idx="5">
                  <c:v>4442.5838437134153</c:v>
                </c:pt>
                <c:pt idx="6">
                  <c:v>4400.8671526547687</c:v>
                </c:pt>
                <c:pt idx="7">
                  <c:v>4332.9318790205552</c:v>
                </c:pt>
                <c:pt idx="8">
                  <c:v>4320.2730579591898</c:v>
                </c:pt>
                <c:pt idx="9">
                  <c:v>4240.4823554942095</c:v>
                </c:pt>
                <c:pt idx="10">
                  <c:v>4110.1628348976601</c:v>
                </c:pt>
                <c:pt idx="11">
                  <c:v>3980.9930231840253</c:v>
                </c:pt>
                <c:pt idx="12">
                  <c:v>3944.4608916746547</c:v>
                </c:pt>
                <c:pt idx="13">
                  <c:v>3894.7503245321554</c:v>
                </c:pt>
                <c:pt idx="14">
                  <c:v>3833.21152605612</c:v>
                </c:pt>
                <c:pt idx="15">
                  <c:v>3811.4289125641953</c:v>
                </c:pt>
                <c:pt idx="16">
                  <c:v>3698.333561001165</c:v>
                </c:pt>
                <c:pt idx="17">
                  <c:v>3554.530279810605</c:v>
                </c:pt>
                <c:pt idx="18">
                  <c:v>3501.5918631346649</c:v>
                </c:pt>
                <c:pt idx="19">
                  <c:v>3463.8834653119798</c:v>
                </c:pt>
                <c:pt idx="20">
                  <c:v>3388.3821836414099</c:v>
                </c:pt>
                <c:pt idx="21">
                  <c:v>3063.4012077927746</c:v>
                </c:pt>
                <c:pt idx="22">
                  <c:v>3042.95624329359</c:v>
                </c:pt>
                <c:pt idx="23">
                  <c:v>2862.6625678645801</c:v>
                </c:pt>
                <c:pt idx="24">
                  <c:v>2823.2034566318853</c:v>
                </c:pt>
                <c:pt idx="25">
                  <c:v>2747.6003698801951</c:v>
                </c:pt>
                <c:pt idx="26">
                  <c:v>2708.309564814675</c:v>
                </c:pt>
                <c:pt idx="27">
                  <c:v>2687.3064929494949</c:v>
                </c:pt>
                <c:pt idx="28">
                  <c:v>2576.4134749260802</c:v>
                </c:pt>
                <c:pt idx="29">
                  <c:v>2494.9140941842802</c:v>
                </c:pt>
                <c:pt idx="30">
                  <c:v>2447.119339893135</c:v>
                </c:pt>
                <c:pt idx="31">
                  <c:v>2343.3351545576552</c:v>
                </c:pt>
                <c:pt idx="32">
                  <c:v>2278.36615764417</c:v>
                </c:pt>
                <c:pt idx="33">
                  <c:v>2218.701143277975</c:v>
                </c:pt>
                <c:pt idx="34">
                  <c:v>2104.4753588905351</c:v>
                </c:pt>
                <c:pt idx="35">
                  <c:v>1955.96931769599</c:v>
                </c:pt>
                <c:pt idx="36">
                  <c:v>1936.81037014857</c:v>
                </c:pt>
                <c:pt idx="37">
                  <c:v>1886.6389993306202</c:v>
                </c:pt>
                <c:pt idx="38">
                  <c:v>1847.4362246766002</c:v>
                </c:pt>
                <c:pt idx="39">
                  <c:v>1820.269961839035</c:v>
                </c:pt>
                <c:pt idx="40">
                  <c:v>1705.177343202975</c:v>
                </c:pt>
                <c:pt idx="41">
                  <c:v>1580.6142587484001</c:v>
                </c:pt>
                <c:pt idx="42">
                  <c:v>1421.59607667564</c:v>
                </c:pt>
                <c:pt idx="43">
                  <c:v>1250.435847361065</c:v>
                </c:pt>
                <c:pt idx="44">
                  <c:v>1180.7017539864751</c:v>
                </c:pt>
                <c:pt idx="45">
                  <c:v>1145.83351834683</c:v>
                </c:pt>
                <c:pt idx="46">
                  <c:v>1131.7527357916499</c:v>
                </c:pt>
                <c:pt idx="47">
                  <c:v>1052.5392449747699</c:v>
                </c:pt>
                <c:pt idx="48">
                  <c:v>938.87835232216503</c:v>
                </c:pt>
                <c:pt idx="49">
                  <c:v>875.46974021794495</c:v>
                </c:pt>
                <c:pt idx="50">
                  <c:v>849.7080566505</c:v>
                </c:pt>
                <c:pt idx="51">
                  <c:v>814.66914502844998</c:v>
                </c:pt>
                <c:pt idx="52">
                  <c:v>741.38558606553011</c:v>
                </c:pt>
                <c:pt idx="53">
                  <c:v>666.49235859555006</c:v>
                </c:pt>
                <c:pt idx="54">
                  <c:v>615.55209683694</c:v>
                </c:pt>
                <c:pt idx="55">
                  <c:v>599.33930759822999</c:v>
                </c:pt>
                <c:pt idx="56">
                  <c:v>557.25720369463488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6-49F8-BC03-D099B11BA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33342416"/>
        <c:axId val="2133343856"/>
      </c:barChart>
      <c:lineChart>
        <c:grouping val="standard"/>
        <c:varyColors val="0"/>
        <c:ser>
          <c:idx val="0"/>
          <c:order val="0"/>
          <c:tx>
            <c:strRef>
              <c:f>'Baseline Fat Mass Results'!$C$3</c:f>
              <c:strCache>
                <c:ptCount val="1"/>
                <c:pt idx="0">
                  <c:v>体长(m)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'Baseline Fat Mass Results'!$B$4:$B$60</c:f>
              <c:strCache>
                <c:ptCount val="57"/>
                <c:pt idx="0">
                  <c:v> Utatsusaurus hataii-245MaMa </c:v>
                </c:pt>
                <c:pt idx="1">
                  <c:v> Shastasaurus sikanniensis-215Ma </c:v>
                </c:pt>
                <c:pt idx="2">
                  <c:v> Parvinatator wapitiensis-240Ma </c:v>
                </c:pt>
                <c:pt idx="3">
                  <c:v> Cymbospondylus nichollsi-240Ma </c:v>
                </c:pt>
                <c:pt idx="4">
                  <c:v> Mixosaurus cornalianus-240Ma </c:v>
                </c:pt>
                <c:pt idx="5">
                  <c:v> Phalarodon callawayi-240Ma </c:v>
                </c:pt>
                <c:pt idx="6">
                  <c:v> Macgowania janiceps-220Ma </c:v>
                </c:pt>
                <c:pt idx="7">
                  <c:v> Cymbospondylus duelferi-240Ma </c:v>
                </c:pt>
                <c:pt idx="8">
                  <c:v> Mikadocephalus gracilirostris-245Ma </c:v>
                </c:pt>
                <c:pt idx="9">
                  <c:v> Besanosaurus leptorhynchus-240Ma </c:v>
                </c:pt>
                <c:pt idx="10">
                  <c:v> Hudsonelpidia brevirostris-225Ma </c:v>
                </c:pt>
                <c:pt idx="11">
                  <c:v> Thalattoarchon saurophagis-245Ma </c:v>
                </c:pt>
                <c:pt idx="12">
                  <c:v> Besanosaurus leptorhynchus-245Ma </c:v>
                </c:pt>
                <c:pt idx="13">
                  <c:v> Cymbospondylus buchseri-245Ma </c:v>
                </c:pt>
                <c:pt idx="14">
                  <c:v> Cymbospondylus duelferi-245Ma </c:v>
                </c:pt>
                <c:pt idx="15">
                  <c:v> Mikadocephalus gracilirostris-240Ma </c:v>
                </c:pt>
                <c:pt idx="16">
                  <c:v> Phalarodon callawayi-245Ma </c:v>
                </c:pt>
                <c:pt idx="17">
                  <c:v> Hudsonelpidia brevirostris-220Ma </c:v>
                </c:pt>
                <c:pt idx="18">
                  <c:v> Mixosaurus cornalianus-245Ma </c:v>
                </c:pt>
                <c:pt idx="19">
                  <c:v> Cymbospondylus nichollsi-245Ma </c:v>
                </c:pt>
                <c:pt idx="20">
                  <c:v> Gulosaurus helmi-245Ma </c:v>
                </c:pt>
                <c:pt idx="21">
                  <c:v> Omphalosaurus wolfi-240Ma </c:v>
                </c:pt>
                <c:pt idx="22">
                  <c:v> Cymbospondylus buchseri-240Ma </c:v>
                </c:pt>
                <c:pt idx="23">
                  <c:v> Himalayasaurus tibetensis-215Ma </c:v>
                </c:pt>
                <c:pt idx="24">
                  <c:v> Callawayia neoscapularis-220Ma </c:v>
                </c:pt>
                <c:pt idx="25">
                  <c:v> Phantomosaurus neubigi-245Ma </c:v>
                </c:pt>
                <c:pt idx="26">
                  <c:v> Thaisaurus chonglakmanii-245Ma </c:v>
                </c:pt>
                <c:pt idx="27">
                  <c:v> Shastasaurus pacificus-235Ma </c:v>
                </c:pt>
                <c:pt idx="28">
                  <c:v> Cymbospondylus piscosus-245Ma </c:v>
                </c:pt>
                <c:pt idx="29">
                  <c:v> Himalayasaurus tibetensis-220Ma </c:v>
                </c:pt>
                <c:pt idx="30">
                  <c:v> Shastasaurus tangae-235Ma </c:v>
                </c:pt>
                <c:pt idx="31">
                  <c:v> Omphalosaurus nevadanus-245Ma </c:v>
                </c:pt>
                <c:pt idx="32">
                  <c:v> Grippia longirostris-245Ma </c:v>
                </c:pt>
                <c:pt idx="33">
                  <c:v> Phalarodon fraasi-245Ma </c:v>
                </c:pt>
                <c:pt idx="34">
                  <c:v> Phalarodon atavus-245Ma </c:v>
                </c:pt>
                <c:pt idx="35">
                  <c:v> Callarwayia wolongganagense-230Ma </c:v>
                </c:pt>
                <c:pt idx="36">
                  <c:v> Californosaurus perrini-230Ma </c:v>
                </c:pt>
                <c:pt idx="37">
                  <c:v> Phalarodon fraasi-240Ma </c:v>
                </c:pt>
                <c:pt idx="38">
                  <c:v> Parvinatator wapitiensis-245Ma </c:v>
                </c:pt>
                <c:pt idx="39">
                  <c:v> Cymbospondylus piscosus-240Ma </c:v>
                </c:pt>
                <c:pt idx="40">
                  <c:v> Toretocnemus californicus-230Ma </c:v>
                </c:pt>
                <c:pt idx="41">
                  <c:v> Toretocnemus zitteli-230Ma </c:v>
                </c:pt>
                <c:pt idx="42">
                  <c:v> Shastasaurus tangae-230Ma </c:v>
                </c:pt>
                <c:pt idx="43">
                  <c:v> Xinminosaurus catactes-245Ma </c:v>
                </c:pt>
                <c:pt idx="44">
                  <c:v> Shastasaurus pacificus-230Ma </c:v>
                </c:pt>
                <c:pt idx="45">
                  <c:v> Qianichthyosaurus xingyiensis-235Ma </c:v>
                </c:pt>
                <c:pt idx="46">
                  <c:v> Shonisaurus popularis-230Ma </c:v>
                </c:pt>
                <c:pt idx="47">
                  <c:v> Sclerocormus parviceps-245Ma </c:v>
                </c:pt>
                <c:pt idx="48">
                  <c:v> Barracudasauroides panxianensis-245Ma </c:v>
                </c:pt>
                <c:pt idx="49">
                  <c:v> Chaohusaurus geishanensis-245Ma </c:v>
                </c:pt>
                <c:pt idx="50">
                  <c:v> Chaohusaurus chaoxianensis-245Ma </c:v>
                </c:pt>
                <c:pt idx="51">
                  <c:v> Shastasaurus liangae-235Ma </c:v>
                </c:pt>
                <c:pt idx="52">
                  <c:v> Chaohusaurus zhangjiawanensis-245Ma </c:v>
                </c:pt>
                <c:pt idx="53">
                  <c:v> Qianichthyosaurus zhoui-235Ma </c:v>
                </c:pt>
                <c:pt idx="54">
                  <c:v> Cartorhynchus lenticarpus-245Ma </c:v>
                </c:pt>
                <c:pt idx="55">
                  <c:v> Callarwayia wolongganagense-235Ma </c:v>
                </c:pt>
                <c:pt idx="56">
                  <c:v> Quasianosteosaurus vikinghoegdai-245Ma </c:v>
                </c:pt>
              </c:strCache>
            </c:strRef>
          </c:cat>
          <c:val>
            <c:numRef>
              <c:f>'Baseline Fat Mass Results'!$C$4:$C$60</c:f>
              <c:numCache>
                <c:formatCode>General</c:formatCode>
                <c:ptCount val="57"/>
                <c:pt idx="0">
                  <c:v>3</c:v>
                </c:pt>
                <c:pt idx="1">
                  <c:v>21</c:v>
                </c:pt>
                <c:pt idx="2">
                  <c:v>1</c:v>
                </c:pt>
                <c:pt idx="3">
                  <c:v>7.6</c:v>
                </c:pt>
                <c:pt idx="4">
                  <c:v>1.5</c:v>
                </c:pt>
                <c:pt idx="5">
                  <c:v>1.5</c:v>
                </c:pt>
                <c:pt idx="6">
                  <c:v>3</c:v>
                </c:pt>
                <c:pt idx="7">
                  <c:v>4.3</c:v>
                </c:pt>
                <c:pt idx="8">
                  <c:v>3</c:v>
                </c:pt>
                <c:pt idx="9">
                  <c:v>8</c:v>
                </c:pt>
                <c:pt idx="10">
                  <c:v>2</c:v>
                </c:pt>
                <c:pt idx="11">
                  <c:v>8.6</c:v>
                </c:pt>
                <c:pt idx="12">
                  <c:v>8</c:v>
                </c:pt>
                <c:pt idx="13">
                  <c:v>5.5</c:v>
                </c:pt>
                <c:pt idx="14">
                  <c:v>4.3</c:v>
                </c:pt>
                <c:pt idx="15">
                  <c:v>3</c:v>
                </c:pt>
                <c:pt idx="16">
                  <c:v>1.5</c:v>
                </c:pt>
                <c:pt idx="17">
                  <c:v>2</c:v>
                </c:pt>
                <c:pt idx="18">
                  <c:v>1.5</c:v>
                </c:pt>
                <c:pt idx="19">
                  <c:v>7.6</c:v>
                </c:pt>
                <c:pt idx="20">
                  <c:v>1.5</c:v>
                </c:pt>
                <c:pt idx="21">
                  <c:v>3.5</c:v>
                </c:pt>
                <c:pt idx="22">
                  <c:v>5.5</c:v>
                </c:pt>
                <c:pt idx="23">
                  <c:v>15</c:v>
                </c:pt>
                <c:pt idx="24">
                  <c:v>2</c:v>
                </c:pt>
                <c:pt idx="25">
                  <c:v>5</c:v>
                </c:pt>
                <c:pt idx="26">
                  <c:v>1.5</c:v>
                </c:pt>
                <c:pt idx="27">
                  <c:v>7</c:v>
                </c:pt>
                <c:pt idx="28">
                  <c:v>18</c:v>
                </c:pt>
                <c:pt idx="29">
                  <c:v>15</c:v>
                </c:pt>
                <c:pt idx="30">
                  <c:v>10</c:v>
                </c:pt>
                <c:pt idx="31">
                  <c:v>2</c:v>
                </c:pt>
                <c:pt idx="32">
                  <c:v>1.5</c:v>
                </c:pt>
                <c:pt idx="33">
                  <c:v>1</c:v>
                </c:pt>
                <c:pt idx="34">
                  <c:v>1</c:v>
                </c:pt>
                <c:pt idx="35">
                  <c:v>3</c:v>
                </c:pt>
                <c:pt idx="36">
                  <c:v>3</c:v>
                </c:pt>
                <c:pt idx="37">
                  <c:v>1</c:v>
                </c:pt>
                <c:pt idx="38">
                  <c:v>1</c:v>
                </c:pt>
                <c:pt idx="39">
                  <c:v>18</c:v>
                </c:pt>
                <c:pt idx="40">
                  <c:v>1</c:v>
                </c:pt>
                <c:pt idx="41">
                  <c:v>2</c:v>
                </c:pt>
                <c:pt idx="42">
                  <c:v>10</c:v>
                </c:pt>
                <c:pt idx="43">
                  <c:v>2.2999999999999998</c:v>
                </c:pt>
                <c:pt idx="44">
                  <c:v>7</c:v>
                </c:pt>
                <c:pt idx="45">
                  <c:v>1.3</c:v>
                </c:pt>
                <c:pt idx="46">
                  <c:v>15</c:v>
                </c:pt>
                <c:pt idx="47">
                  <c:v>1.6</c:v>
                </c:pt>
                <c:pt idx="48">
                  <c:v>1</c:v>
                </c:pt>
                <c:pt idx="49">
                  <c:v>1.8</c:v>
                </c:pt>
                <c:pt idx="50">
                  <c:v>1.3</c:v>
                </c:pt>
                <c:pt idx="51">
                  <c:v>9.25</c:v>
                </c:pt>
                <c:pt idx="52">
                  <c:v>1</c:v>
                </c:pt>
                <c:pt idx="53">
                  <c:v>1.5</c:v>
                </c:pt>
                <c:pt idx="54">
                  <c:v>0.4</c:v>
                </c:pt>
                <c:pt idx="55">
                  <c:v>3</c:v>
                </c:pt>
                <c:pt idx="5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B6-49F8-BC03-D099B11BAFEC}"/>
            </c:ext>
          </c:extLst>
        </c:ser>
        <c:ser>
          <c:idx val="2"/>
          <c:order val="2"/>
          <c:tx>
            <c:strRef>
              <c:f>'Baseline Fat Mass Results'!$H$3</c:f>
              <c:strCache>
                <c:ptCount val="1"/>
                <c:pt idx="0">
                  <c:v>平均完成时间（年/Agent）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'Baseline Fat Mass Results'!$B$4:$B$60</c:f>
              <c:strCache>
                <c:ptCount val="57"/>
                <c:pt idx="0">
                  <c:v> Utatsusaurus hataii-245MaMa </c:v>
                </c:pt>
                <c:pt idx="1">
                  <c:v> Shastasaurus sikanniensis-215Ma </c:v>
                </c:pt>
                <c:pt idx="2">
                  <c:v> Parvinatator wapitiensis-240Ma </c:v>
                </c:pt>
                <c:pt idx="3">
                  <c:v> Cymbospondylus nichollsi-240Ma </c:v>
                </c:pt>
                <c:pt idx="4">
                  <c:v> Mixosaurus cornalianus-240Ma </c:v>
                </c:pt>
                <c:pt idx="5">
                  <c:v> Phalarodon callawayi-240Ma </c:v>
                </c:pt>
                <c:pt idx="6">
                  <c:v> Macgowania janiceps-220Ma </c:v>
                </c:pt>
                <c:pt idx="7">
                  <c:v> Cymbospondylus duelferi-240Ma </c:v>
                </c:pt>
                <c:pt idx="8">
                  <c:v> Mikadocephalus gracilirostris-245Ma </c:v>
                </c:pt>
                <c:pt idx="9">
                  <c:v> Besanosaurus leptorhynchus-240Ma </c:v>
                </c:pt>
                <c:pt idx="10">
                  <c:v> Hudsonelpidia brevirostris-225Ma </c:v>
                </c:pt>
                <c:pt idx="11">
                  <c:v> Thalattoarchon saurophagis-245Ma </c:v>
                </c:pt>
                <c:pt idx="12">
                  <c:v> Besanosaurus leptorhynchus-245Ma </c:v>
                </c:pt>
                <c:pt idx="13">
                  <c:v> Cymbospondylus buchseri-245Ma </c:v>
                </c:pt>
                <c:pt idx="14">
                  <c:v> Cymbospondylus duelferi-245Ma </c:v>
                </c:pt>
                <c:pt idx="15">
                  <c:v> Mikadocephalus gracilirostris-240Ma </c:v>
                </c:pt>
                <c:pt idx="16">
                  <c:v> Phalarodon callawayi-245Ma </c:v>
                </c:pt>
                <c:pt idx="17">
                  <c:v> Hudsonelpidia brevirostris-220Ma </c:v>
                </c:pt>
                <c:pt idx="18">
                  <c:v> Mixosaurus cornalianus-245Ma </c:v>
                </c:pt>
                <c:pt idx="19">
                  <c:v> Cymbospondylus nichollsi-245Ma </c:v>
                </c:pt>
                <c:pt idx="20">
                  <c:v> Gulosaurus helmi-245Ma </c:v>
                </c:pt>
                <c:pt idx="21">
                  <c:v> Omphalosaurus wolfi-240Ma </c:v>
                </c:pt>
                <c:pt idx="22">
                  <c:v> Cymbospondylus buchseri-240Ma </c:v>
                </c:pt>
                <c:pt idx="23">
                  <c:v> Himalayasaurus tibetensis-215Ma </c:v>
                </c:pt>
                <c:pt idx="24">
                  <c:v> Callawayia neoscapularis-220Ma </c:v>
                </c:pt>
                <c:pt idx="25">
                  <c:v> Phantomosaurus neubigi-245Ma </c:v>
                </c:pt>
                <c:pt idx="26">
                  <c:v> Thaisaurus chonglakmanii-245Ma </c:v>
                </c:pt>
                <c:pt idx="27">
                  <c:v> Shastasaurus pacificus-235Ma </c:v>
                </c:pt>
                <c:pt idx="28">
                  <c:v> Cymbospondylus piscosus-245Ma </c:v>
                </c:pt>
                <c:pt idx="29">
                  <c:v> Himalayasaurus tibetensis-220Ma </c:v>
                </c:pt>
                <c:pt idx="30">
                  <c:v> Shastasaurus tangae-235Ma </c:v>
                </c:pt>
                <c:pt idx="31">
                  <c:v> Omphalosaurus nevadanus-245Ma </c:v>
                </c:pt>
                <c:pt idx="32">
                  <c:v> Grippia longirostris-245Ma </c:v>
                </c:pt>
                <c:pt idx="33">
                  <c:v> Phalarodon fraasi-245Ma </c:v>
                </c:pt>
                <c:pt idx="34">
                  <c:v> Phalarodon atavus-245Ma </c:v>
                </c:pt>
                <c:pt idx="35">
                  <c:v> Callarwayia wolongganagense-230Ma </c:v>
                </c:pt>
                <c:pt idx="36">
                  <c:v> Californosaurus perrini-230Ma </c:v>
                </c:pt>
                <c:pt idx="37">
                  <c:v> Phalarodon fraasi-240Ma </c:v>
                </c:pt>
                <c:pt idx="38">
                  <c:v> Parvinatator wapitiensis-245Ma </c:v>
                </c:pt>
                <c:pt idx="39">
                  <c:v> Cymbospondylus piscosus-240Ma </c:v>
                </c:pt>
                <c:pt idx="40">
                  <c:v> Toretocnemus californicus-230Ma </c:v>
                </c:pt>
                <c:pt idx="41">
                  <c:v> Toretocnemus zitteli-230Ma </c:v>
                </c:pt>
                <c:pt idx="42">
                  <c:v> Shastasaurus tangae-230Ma </c:v>
                </c:pt>
                <c:pt idx="43">
                  <c:v> Xinminosaurus catactes-245Ma </c:v>
                </c:pt>
                <c:pt idx="44">
                  <c:v> Shastasaurus pacificus-230Ma </c:v>
                </c:pt>
                <c:pt idx="45">
                  <c:v> Qianichthyosaurus xingyiensis-235Ma </c:v>
                </c:pt>
                <c:pt idx="46">
                  <c:v> Shonisaurus popularis-230Ma </c:v>
                </c:pt>
                <c:pt idx="47">
                  <c:v> Sclerocormus parviceps-245Ma </c:v>
                </c:pt>
                <c:pt idx="48">
                  <c:v> Barracudasauroides panxianensis-245Ma </c:v>
                </c:pt>
                <c:pt idx="49">
                  <c:v> Chaohusaurus geishanensis-245Ma </c:v>
                </c:pt>
                <c:pt idx="50">
                  <c:v> Chaohusaurus chaoxianensis-245Ma </c:v>
                </c:pt>
                <c:pt idx="51">
                  <c:v> Shastasaurus liangae-235Ma </c:v>
                </c:pt>
                <c:pt idx="52">
                  <c:v> Chaohusaurus zhangjiawanensis-245Ma </c:v>
                </c:pt>
                <c:pt idx="53">
                  <c:v> Qianichthyosaurus zhoui-235Ma </c:v>
                </c:pt>
                <c:pt idx="54">
                  <c:v> Cartorhynchus lenticarpus-245Ma </c:v>
                </c:pt>
                <c:pt idx="55">
                  <c:v> Callarwayia wolongganagense-235Ma </c:v>
                </c:pt>
                <c:pt idx="56">
                  <c:v> Quasianosteosaurus vikinghoegdai-245Ma </c:v>
                </c:pt>
              </c:strCache>
            </c:strRef>
          </c:cat>
          <c:val>
            <c:numRef>
              <c:f>'Baseline Fat Mass Results'!$H$4:$H$60</c:f>
              <c:numCache>
                <c:formatCode>0.0_);[Red]\(0.0\)</c:formatCode>
                <c:ptCount val="57"/>
                <c:pt idx="0">
                  <c:v>11.359868181117578</c:v>
                </c:pt>
                <c:pt idx="1">
                  <c:v>3.6330052336122685</c:v>
                </c:pt>
                <c:pt idx="2">
                  <c:v>19.547914803696301</c:v>
                </c:pt>
                <c:pt idx="3">
                  <c:v>6.8277587415255256</c:v>
                </c:pt>
                <c:pt idx="4">
                  <c:v>13.693116016352025</c:v>
                </c:pt>
                <c:pt idx="5">
                  <c:v>12.741750721287591</c:v>
                </c:pt>
                <c:pt idx="6">
                  <c:v>8.2981310206814278</c:v>
                </c:pt>
                <c:pt idx="7">
                  <c:v>9.0712311260578389</c:v>
                </c:pt>
                <c:pt idx="8">
                  <c:v>14.233561708910104</c:v>
                </c:pt>
                <c:pt idx="9">
                  <c:v>5.7979558490952243</c:v>
                </c:pt>
                <c:pt idx="10">
                  <c:v>6.6376611890207853</c:v>
                </c:pt>
                <c:pt idx="11">
                  <c:v>6.5487135838720985</c:v>
                </c:pt>
                <c:pt idx="12">
                  <c:v>5.6079382720054065</c:v>
                </c:pt>
                <c:pt idx="13">
                  <c:v>7.6596497021440735</c:v>
                </c:pt>
                <c:pt idx="14">
                  <c:v>9.510585891258879</c:v>
                </c:pt>
                <c:pt idx="15">
                  <c:v>13.201407232867659</c:v>
                </c:pt>
                <c:pt idx="16">
                  <c:v>14.089703675806824</c:v>
                </c:pt>
                <c:pt idx="17">
                  <c:v>9.164349239713264</c:v>
                </c:pt>
                <c:pt idx="18">
                  <c:v>14.829247435928622</c:v>
                </c:pt>
                <c:pt idx="19">
                  <c:v>6.9724981102728467</c:v>
                </c:pt>
                <c:pt idx="20">
                  <c:v>14.832741113987394</c:v>
                </c:pt>
                <c:pt idx="21">
                  <c:v>8.9559832355028224</c:v>
                </c:pt>
                <c:pt idx="22">
                  <c:v>7.4761661687281205</c:v>
                </c:pt>
                <c:pt idx="23">
                  <c:v>4.7666279489768195</c:v>
                </c:pt>
                <c:pt idx="24">
                  <c:v>3.638736748770421</c:v>
                </c:pt>
                <c:pt idx="25">
                  <c:v>5.9836774253467473</c:v>
                </c:pt>
                <c:pt idx="26">
                  <c:v>15.763173097691036</c:v>
                </c:pt>
                <c:pt idx="27">
                  <c:v>6.1509647382990069</c:v>
                </c:pt>
                <c:pt idx="28">
                  <c:v>4.3952398255387495</c:v>
                </c:pt>
                <c:pt idx="29">
                  <c:v>4.8894140418030343</c:v>
                </c:pt>
                <c:pt idx="30">
                  <c:v>4.9417632767946316</c:v>
                </c:pt>
                <c:pt idx="31">
                  <c:v>14.47550172160572</c:v>
                </c:pt>
                <c:pt idx="32">
                  <c:v>12.173242871031185</c:v>
                </c:pt>
                <c:pt idx="33">
                  <c:v>15.644060490602708</c:v>
                </c:pt>
                <c:pt idx="34">
                  <c:v>15.859953267062897</c:v>
                </c:pt>
                <c:pt idx="35">
                  <c:v>12.255678799103833</c:v>
                </c:pt>
                <c:pt idx="36">
                  <c:v>8.6264409416118575</c:v>
                </c:pt>
                <c:pt idx="37">
                  <c:v>16.693178763063372</c:v>
                </c:pt>
                <c:pt idx="38">
                  <c:v>19.325442436151796</c:v>
                </c:pt>
                <c:pt idx="39">
                  <c:v>4.2426617103480941</c:v>
                </c:pt>
                <c:pt idx="40">
                  <c:v>13.916934758780473</c:v>
                </c:pt>
                <c:pt idx="41">
                  <c:v>9.7476050967883054</c:v>
                </c:pt>
                <c:pt idx="42">
                  <c:v>5.1036359815307106</c:v>
                </c:pt>
                <c:pt idx="43">
                  <c:v>9.1423209618804702</c:v>
                </c:pt>
                <c:pt idx="44">
                  <c:v>6.306618629889301</c:v>
                </c:pt>
                <c:pt idx="45">
                  <c:v>7.0154191831092723</c:v>
                </c:pt>
                <c:pt idx="46">
                  <c:v>4.2069863478475868</c:v>
                </c:pt>
                <c:pt idx="47">
                  <c:v>12.309221730370449</c:v>
                </c:pt>
                <c:pt idx="48">
                  <c:v>12.468032634930651</c:v>
                </c:pt>
                <c:pt idx="49">
                  <c:v>11.304491119339216</c:v>
                </c:pt>
                <c:pt idx="50">
                  <c:v>13.463962346589692</c:v>
                </c:pt>
                <c:pt idx="51">
                  <c:v>4.8173015391664125</c:v>
                </c:pt>
                <c:pt idx="52">
                  <c:v>14.766389940016854</c:v>
                </c:pt>
                <c:pt idx="53">
                  <c:v>7.1951549540552389</c:v>
                </c:pt>
                <c:pt idx="54">
                  <c:v>11.994044561388446</c:v>
                </c:pt>
                <c:pt idx="55">
                  <c:v>6.7411549645325657</c:v>
                </c:pt>
                <c:pt idx="56">
                  <c:v>23.583446143445553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B6-49F8-BC03-D099B11BA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7059248"/>
        <c:axId val="2027061648"/>
      </c:lineChart>
      <c:catAx>
        <c:axId val="2133342416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3343856"/>
        <c:crosses val="autoZero"/>
        <c:auto val="1"/>
        <c:lblAlgn val="ctr"/>
        <c:lblOffset val="100"/>
        <c:noMultiLvlLbl val="0"/>
      </c:catAx>
      <c:valAx>
        <c:axId val="213334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3342416"/>
        <c:crosses val="autoZero"/>
        <c:crossBetween val="between"/>
      </c:valAx>
      <c:valAx>
        <c:axId val="20270616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7059248"/>
        <c:crosses val="max"/>
        <c:crossBetween val="between"/>
      </c:valAx>
      <c:catAx>
        <c:axId val="202705924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2027061648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061380077586116E-2"/>
          <c:y val="1.3183806133687947E-2"/>
          <c:w val="0.93865405277131009"/>
          <c:h val="0.68843259267144585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'Baseline Fat Mass Results'!$B$63:$B$96</c:f>
              <c:strCache>
                <c:ptCount val="34"/>
                <c:pt idx="0">
                  <c:v>Cyamodus hildegardis-245Ma</c:v>
                </c:pt>
                <c:pt idx="1">
                  <c:v>Helveticosaurus zollingeri-240Ma</c:v>
                </c:pt>
                <c:pt idx="2">
                  <c:v>Paraplacodus broilli-245Ma</c:v>
                </c:pt>
                <c:pt idx="3">
                  <c:v>Helveticosaurus zollingeri-245Ma</c:v>
                </c:pt>
                <c:pt idx="4">
                  <c:v>Cyamodus muensteri-240Ma</c:v>
                </c:pt>
                <c:pt idx="5">
                  <c:v>Cyamodus kuhnschnyderi-240Ma</c:v>
                </c:pt>
                <c:pt idx="6">
                  <c:v>Cyamodus rostratus-240Ma</c:v>
                </c:pt>
                <c:pt idx="7">
                  <c:v>Henodus chelyops-240Ma</c:v>
                </c:pt>
                <c:pt idx="8">
                  <c:v>Placochelys placodonta-240Ma</c:v>
                </c:pt>
                <c:pt idx="9">
                  <c:v>Placodus gigas-240Ma</c:v>
                </c:pt>
                <c:pt idx="10">
                  <c:v>Psephosauriscus mosis-245Ma</c:v>
                </c:pt>
                <c:pt idx="11">
                  <c:v>Eusaurosphargis dalsassoi-245Ma</c:v>
                </c:pt>
                <c:pt idx="12">
                  <c:v>Psephosauriscus ramonensis-245Ma</c:v>
                </c:pt>
                <c:pt idx="13">
                  <c:v>Psephosauriscus sinaiticus-245Ma</c:v>
                </c:pt>
                <c:pt idx="14">
                  <c:v>Psephosauriscus rhombifer-240Ma</c:v>
                </c:pt>
                <c:pt idx="15">
                  <c:v>Henodus chelyops-235Ma</c:v>
                </c:pt>
                <c:pt idx="16">
                  <c:v>Atopodentatus unicus-245Ma</c:v>
                </c:pt>
                <c:pt idx="17">
                  <c:v>Pararcus diepenbroek-240Ma</c:v>
                </c:pt>
                <c:pt idx="18">
                  <c:v>Psephoderma alpinum-20Ma5Ma</c:v>
                </c:pt>
                <c:pt idx="19">
                  <c:v>Psephoderma alpinum-215Ma</c:v>
                </c:pt>
                <c:pt idx="20">
                  <c:v>Cyamodus rostratus-245Ma</c:v>
                </c:pt>
                <c:pt idx="21">
                  <c:v>Psephoderma alpinum-210Ma</c:v>
                </c:pt>
                <c:pt idx="22">
                  <c:v>Placochelys placodonta-235Ma</c:v>
                </c:pt>
                <c:pt idx="23">
                  <c:v>Placodus inexpectatus-245Ma</c:v>
                </c:pt>
                <c:pt idx="24">
                  <c:v>Glyphoderma kangi-240Ma</c:v>
                </c:pt>
                <c:pt idx="25">
                  <c:v>Cyamodus muensteri-245Ma</c:v>
                </c:pt>
                <c:pt idx="26">
                  <c:v>Pararcus diepenbroek-245Ma</c:v>
                </c:pt>
                <c:pt idx="27">
                  <c:v>Macroplacus raeticus-20Ma5Ma</c:v>
                </c:pt>
                <c:pt idx="28">
                  <c:v>Placodus gigas-245Ma</c:v>
                </c:pt>
                <c:pt idx="29">
                  <c:v>Palatodonta bleekeri--245Ma</c:v>
                </c:pt>
                <c:pt idx="30">
                  <c:v>Glyphoderma kangi-235Ma</c:v>
                </c:pt>
                <c:pt idx="31">
                  <c:v>Cyamodus orientalis-235Ma</c:v>
                </c:pt>
                <c:pt idx="32">
                  <c:v>Sinocyamodus xinpuensis-235Ma</c:v>
                </c:pt>
                <c:pt idx="33">
                  <c:v>Psephochelys polyosteoderma-235Ma</c:v>
                </c:pt>
              </c:strCache>
            </c:strRef>
          </c:cat>
          <c:val>
            <c:numRef>
              <c:f>'Baseline Fat Mass Results'!$G$63:$G$96</c:f>
              <c:numCache>
                <c:formatCode>General</c:formatCode>
                <c:ptCount val="34"/>
                <c:pt idx="0">
                  <c:v>4847.1335982999999</c:v>
                </c:pt>
                <c:pt idx="1">
                  <c:v>4417.4383222000006</c:v>
                </c:pt>
                <c:pt idx="2">
                  <c:v>4100.9744166</c:v>
                </c:pt>
                <c:pt idx="3">
                  <c:v>3795.2400991</c:v>
                </c:pt>
                <c:pt idx="4">
                  <c:v>3717.5950601</c:v>
                </c:pt>
                <c:pt idx="5">
                  <c:v>3702.4643925</c:v>
                </c:pt>
                <c:pt idx="6">
                  <c:v>3648.5273723999999</c:v>
                </c:pt>
                <c:pt idx="7">
                  <c:v>3385.0563969</c:v>
                </c:pt>
                <c:pt idx="8">
                  <c:v>2809.6004658000002</c:v>
                </c:pt>
                <c:pt idx="9">
                  <c:v>2732.7818811000002</c:v>
                </c:pt>
                <c:pt idx="10">
                  <c:v>2537.9418043999999</c:v>
                </c:pt>
                <c:pt idx="11">
                  <c:v>2474.9157734</c:v>
                </c:pt>
                <c:pt idx="12">
                  <c:v>2318.3602900000001</c:v>
                </c:pt>
                <c:pt idx="13">
                  <c:v>2241.8095705999999</c:v>
                </c:pt>
                <c:pt idx="14">
                  <c:v>1884.1572466</c:v>
                </c:pt>
                <c:pt idx="15">
                  <c:v>1637.0637128000001</c:v>
                </c:pt>
                <c:pt idx="16">
                  <c:v>1513.6857485999999</c:v>
                </c:pt>
                <c:pt idx="17">
                  <c:v>1445.0411429000001</c:v>
                </c:pt>
                <c:pt idx="18">
                  <c:v>1351.0559899</c:v>
                </c:pt>
                <c:pt idx="19">
                  <c:v>1322.7406679000001</c:v>
                </c:pt>
                <c:pt idx="20">
                  <c:v>1304.5108307</c:v>
                </c:pt>
                <c:pt idx="21">
                  <c:v>1296.7584263000001</c:v>
                </c:pt>
                <c:pt idx="22">
                  <c:v>1280.0899535999999</c:v>
                </c:pt>
                <c:pt idx="23">
                  <c:v>1276.8262500999999</c:v>
                </c:pt>
                <c:pt idx="24">
                  <c:v>1171.8623973000001</c:v>
                </c:pt>
                <c:pt idx="25">
                  <c:v>1153.7683132</c:v>
                </c:pt>
                <c:pt idx="26">
                  <c:v>929.70753670000011</c:v>
                </c:pt>
                <c:pt idx="27">
                  <c:v>914.78069909999999</c:v>
                </c:pt>
                <c:pt idx="28">
                  <c:v>893.86943889999998</c:v>
                </c:pt>
                <c:pt idx="29">
                  <c:v>839.05276879999997</c:v>
                </c:pt>
                <c:pt idx="30">
                  <c:v>754.86396680000007</c:v>
                </c:pt>
                <c:pt idx="31">
                  <c:v>652.18650930000001</c:v>
                </c:pt>
                <c:pt idx="32">
                  <c:v>569.43292859999997</c:v>
                </c:pt>
                <c:pt idx="33">
                  <c:v>476.51085740000002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A-4822-9446-9AD12645E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92201888"/>
        <c:axId val="1892200928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'Baseline Fat Mass Results'!$B$63:$B$96</c:f>
              <c:strCache>
                <c:ptCount val="34"/>
                <c:pt idx="0">
                  <c:v>Cyamodus hildegardis-245Ma</c:v>
                </c:pt>
                <c:pt idx="1">
                  <c:v>Helveticosaurus zollingeri-240Ma</c:v>
                </c:pt>
                <c:pt idx="2">
                  <c:v>Paraplacodus broilli-245Ma</c:v>
                </c:pt>
                <c:pt idx="3">
                  <c:v>Helveticosaurus zollingeri-245Ma</c:v>
                </c:pt>
                <c:pt idx="4">
                  <c:v>Cyamodus muensteri-240Ma</c:v>
                </c:pt>
                <c:pt idx="5">
                  <c:v>Cyamodus kuhnschnyderi-240Ma</c:v>
                </c:pt>
                <c:pt idx="6">
                  <c:v>Cyamodus rostratus-240Ma</c:v>
                </c:pt>
                <c:pt idx="7">
                  <c:v>Henodus chelyops-240Ma</c:v>
                </c:pt>
                <c:pt idx="8">
                  <c:v>Placochelys placodonta-240Ma</c:v>
                </c:pt>
                <c:pt idx="9">
                  <c:v>Placodus gigas-240Ma</c:v>
                </c:pt>
                <c:pt idx="10">
                  <c:v>Psephosauriscus mosis-245Ma</c:v>
                </c:pt>
                <c:pt idx="11">
                  <c:v>Eusaurosphargis dalsassoi-245Ma</c:v>
                </c:pt>
                <c:pt idx="12">
                  <c:v>Psephosauriscus ramonensis-245Ma</c:v>
                </c:pt>
                <c:pt idx="13">
                  <c:v>Psephosauriscus sinaiticus-245Ma</c:v>
                </c:pt>
                <c:pt idx="14">
                  <c:v>Psephosauriscus rhombifer-240Ma</c:v>
                </c:pt>
                <c:pt idx="15">
                  <c:v>Henodus chelyops-235Ma</c:v>
                </c:pt>
                <c:pt idx="16">
                  <c:v>Atopodentatus unicus-245Ma</c:v>
                </c:pt>
                <c:pt idx="17">
                  <c:v>Pararcus diepenbroek-240Ma</c:v>
                </c:pt>
                <c:pt idx="18">
                  <c:v>Psephoderma alpinum-20Ma5Ma</c:v>
                </c:pt>
                <c:pt idx="19">
                  <c:v>Psephoderma alpinum-215Ma</c:v>
                </c:pt>
                <c:pt idx="20">
                  <c:v>Cyamodus rostratus-245Ma</c:v>
                </c:pt>
                <c:pt idx="21">
                  <c:v>Psephoderma alpinum-210Ma</c:v>
                </c:pt>
                <c:pt idx="22">
                  <c:v>Placochelys placodonta-235Ma</c:v>
                </c:pt>
                <c:pt idx="23">
                  <c:v>Placodus inexpectatus-245Ma</c:v>
                </c:pt>
                <c:pt idx="24">
                  <c:v>Glyphoderma kangi-240Ma</c:v>
                </c:pt>
                <c:pt idx="25">
                  <c:v>Cyamodus muensteri-245Ma</c:v>
                </c:pt>
                <c:pt idx="26">
                  <c:v>Pararcus diepenbroek-245Ma</c:v>
                </c:pt>
                <c:pt idx="27">
                  <c:v>Macroplacus raeticus-20Ma5Ma</c:v>
                </c:pt>
                <c:pt idx="28">
                  <c:v>Placodus gigas-245Ma</c:v>
                </c:pt>
                <c:pt idx="29">
                  <c:v>Palatodonta bleekeri--245Ma</c:v>
                </c:pt>
                <c:pt idx="30">
                  <c:v>Glyphoderma kangi-235Ma</c:v>
                </c:pt>
                <c:pt idx="31">
                  <c:v>Cyamodus orientalis-235Ma</c:v>
                </c:pt>
                <c:pt idx="32">
                  <c:v>Sinocyamodus xinpuensis-235Ma</c:v>
                </c:pt>
                <c:pt idx="33">
                  <c:v>Psephochelys polyosteoderma-235Ma</c:v>
                </c:pt>
              </c:strCache>
            </c:strRef>
          </c:cat>
          <c:val>
            <c:numRef>
              <c:f>'Baseline Fat Mass Results'!$C$63:$C$96</c:f>
              <c:numCache>
                <c:formatCode>General</c:formatCode>
                <c:ptCount val="34"/>
                <c:pt idx="0">
                  <c:v>1.5</c:v>
                </c:pt>
                <c:pt idx="1">
                  <c:v>3.6</c:v>
                </c:pt>
                <c:pt idx="2">
                  <c:v>1.5</c:v>
                </c:pt>
                <c:pt idx="3">
                  <c:v>3.6</c:v>
                </c:pt>
                <c:pt idx="4">
                  <c:v>1.3</c:v>
                </c:pt>
                <c:pt idx="5">
                  <c:v>1.5</c:v>
                </c:pt>
                <c:pt idx="6">
                  <c:v>1.3</c:v>
                </c:pt>
                <c:pt idx="7">
                  <c:v>1</c:v>
                </c:pt>
                <c:pt idx="8">
                  <c:v>0.95</c:v>
                </c:pt>
                <c:pt idx="9">
                  <c:v>2</c:v>
                </c:pt>
                <c:pt idx="10">
                  <c:v>1.2</c:v>
                </c:pt>
                <c:pt idx="11">
                  <c:v>0.2</c:v>
                </c:pt>
                <c:pt idx="12">
                  <c:v>1.3</c:v>
                </c:pt>
                <c:pt idx="13">
                  <c:v>1.2</c:v>
                </c:pt>
                <c:pt idx="14">
                  <c:v>1.3</c:v>
                </c:pt>
                <c:pt idx="15">
                  <c:v>1</c:v>
                </c:pt>
                <c:pt idx="16">
                  <c:v>3</c:v>
                </c:pt>
                <c:pt idx="17">
                  <c:v>1.5</c:v>
                </c:pt>
                <c:pt idx="18">
                  <c:v>1.25</c:v>
                </c:pt>
                <c:pt idx="19">
                  <c:v>1.25</c:v>
                </c:pt>
                <c:pt idx="20">
                  <c:v>1.3</c:v>
                </c:pt>
                <c:pt idx="21">
                  <c:v>1.25</c:v>
                </c:pt>
                <c:pt idx="22">
                  <c:v>0.95</c:v>
                </c:pt>
                <c:pt idx="23">
                  <c:v>2.5</c:v>
                </c:pt>
                <c:pt idx="24">
                  <c:v>0.95</c:v>
                </c:pt>
                <c:pt idx="25">
                  <c:v>1.3</c:v>
                </c:pt>
                <c:pt idx="26">
                  <c:v>1.5</c:v>
                </c:pt>
                <c:pt idx="27">
                  <c:v>1</c:v>
                </c:pt>
                <c:pt idx="28">
                  <c:v>2</c:v>
                </c:pt>
                <c:pt idx="29">
                  <c:v>1.5</c:v>
                </c:pt>
                <c:pt idx="30">
                  <c:v>0.95</c:v>
                </c:pt>
                <c:pt idx="31">
                  <c:v>1.3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8A-4822-9446-9AD12645ED4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'Baseline Fat Mass Results'!$B$63:$B$96</c:f>
              <c:strCache>
                <c:ptCount val="34"/>
                <c:pt idx="0">
                  <c:v>Cyamodus hildegardis-245Ma</c:v>
                </c:pt>
                <c:pt idx="1">
                  <c:v>Helveticosaurus zollingeri-240Ma</c:v>
                </c:pt>
                <c:pt idx="2">
                  <c:v>Paraplacodus broilli-245Ma</c:v>
                </c:pt>
                <c:pt idx="3">
                  <c:v>Helveticosaurus zollingeri-245Ma</c:v>
                </c:pt>
                <c:pt idx="4">
                  <c:v>Cyamodus muensteri-240Ma</c:v>
                </c:pt>
                <c:pt idx="5">
                  <c:v>Cyamodus kuhnschnyderi-240Ma</c:v>
                </c:pt>
                <c:pt idx="6">
                  <c:v>Cyamodus rostratus-240Ma</c:v>
                </c:pt>
                <c:pt idx="7">
                  <c:v>Henodus chelyops-240Ma</c:v>
                </c:pt>
                <c:pt idx="8">
                  <c:v>Placochelys placodonta-240Ma</c:v>
                </c:pt>
                <c:pt idx="9">
                  <c:v>Placodus gigas-240Ma</c:v>
                </c:pt>
                <c:pt idx="10">
                  <c:v>Psephosauriscus mosis-245Ma</c:v>
                </c:pt>
                <c:pt idx="11">
                  <c:v>Eusaurosphargis dalsassoi-245Ma</c:v>
                </c:pt>
                <c:pt idx="12">
                  <c:v>Psephosauriscus ramonensis-245Ma</c:v>
                </c:pt>
                <c:pt idx="13">
                  <c:v>Psephosauriscus sinaiticus-245Ma</c:v>
                </c:pt>
                <c:pt idx="14">
                  <c:v>Psephosauriscus rhombifer-240Ma</c:v>
                </c:pt>
                <c:pt idx="15">
                  <c:v>Henodus chelyops-235Ma</c:v>
                </c:pt>
                <c:pt idx="16">
                  <c:v>Atopodentatus unicus-245Ma</c:v>
                </c:pt>
                <c:pt idx="17">
                  <c:v>Pararcus diepenbroek-240Ma</c:v>
                </c:pt>
                <c:pt idx="18">
                  <c:v>Psephoderma alpinum-20Ma5Ma</c:v>
                </c:pt>
                <c:pt idx="19">
                  <c:v>Psephoderma alpinum-215Ma</c:v>
                </c:pt>
                <c:pt idx="20">
                  <c:v>Cyamodus rostratus-245Ma</c:v>
                </c:pt>
                <c:pt idx="21">
                  <c:v>Psephoderma alpinum-210Ma</c:v>
                </c:pt>
                <c:pt idx="22">
                  <c:v>Placochelys placodonta-235Ma</c:v>
                </c:pt>
                <c:pt idx="23">
                  <c:v>Placodus inexpectatus-245Ma</c:v>
                </c:pt>
                <c:pt idx="24">
                  <c:v>Glyphoderma kangi-240Ma</c:v>
                </c:pt>
                <c:pt idx="25">
                  <c:v>Cyamodus muensteri-245Ma</c:v>
                </c:pt>
                <c:pt idx="26">
                  <c:v>Pararcus diepenbroek-245Ma</c:v>
                </c:pt>
                <c:pt idx="27">
                  <c:v>Macroplacus raeticus-20Ma5Ma</c:v>
                </c:pt>
                <c:pt idx="28">
                  <c:v>Placodus gigas-245Ma</c:v>
                </c:pt>
                <c:pt idx="29">
                  <c:v>Palatodonta bleekeri--245Ma</c:v>
                </c:pt>
                <c:pt idx="30">
                  <c:v>Glyphoderma kangi-235Ma</c:v>
                </c:pt>
                <c:pt idx="31">
                  <c:v>Cyamodus orientalis-235Ma</c:v>
                </c:pt>
                <c:pt idx="32">
                  <c:v>Sinocyamodus xinpuensis-235Ma</c:v>
                </c:pt>
                <c:pt idx="33">
                  <c:v>Psephochelys polyosteoderma-235Ma</c:v>
                </c:pt>
              </c:strCache>
            </c:strRef>
          </c:cat>
          <c:val>
            <c:numRef>
              <c:f>'Baseline Fat Mass Results'!$H$63:$H$96</c:f>
              <c:numCache>
                <c:formatCode>0.0_);[Red]\(0.0\)</c:formatCode>
                <c:ptCount val="34"/>
                <c:pt idx="0">
                  <c:v>13.498075926131246</c:v>
                </c:pt>
                <c:pt idx="1">
                  <c:v>7.7379676240258588</c:v>
                </c:pt>
                <c:pt idx="2">
                  <c:v>13.366478531684852</c:v>
                </c:pt>
                <c:pt idx="3">
                  <c:v>8.0756879100908492</c:v>
                </c:pt>
                <c:pt idx="4">
                  <c:v>12.127989745157121</c:v>
                </c:pt>
                <c:pt idx="5">
                  <c:v>11.055058297755011</c:v>
                </c:pt>
                <c:pt idx="6">
                  <c:v>12.19288904290346</c:v>
                </c:pt>
                <c:pt idx="7">
                  <c:v>10.083267975031536</c:v>
                </c:pt>
                <c:pt idx="8">
                  <c:v>12.923810344915191</c:v>
                </c:pt>
                <c:pt idx="9">
                  <c:v>9.559180679222381</c:v>
                </c:pt>
                <c:pt idx="10">
                  <c:v>13.622126489459649</c:v>
                </c:pt>
                <c:pt idx="11">
                  <c:v>12.974906590664432</c:v>
                </c:pt>
                <c:pt idx="12">
                  <c:v>13.478694409689085</c:v>
                </c:pt>
                <c:pt idx="13">
                  <c:v>12.389921446274512</c:v>
                </c:pt>
                <c:pt idx="14">
                  <c:v>8.3719450891908611</c:v>
                </c:pt>
                <c:pt idx="15">
                  <c:v>7.4661635435131917</c:v>
                </c:pt>
                <c:pt idx="16">
                  <c:v>9.3203025843211407</c:v>
                </c:pt>
                <c:pt idx="17">
                  <c:v>8.2118897075691741</c:v>
                </c:pt>
                <c:pt idx="18">
                  <c:v>9.9252258526269976</c:v>
                </c:pt>
                <c:pt idx="19">
                  <c:v>9.8349872030805265</c:v>
                </c:pt>
                <c:pt idx="20">
                  <c:v>7.7848040546227164</c:v>
                </c:pt>
                <c:pt idx="21">
                  <c:v>9.7526588323846077</c:v>
                </c:pt>
                <c:pt idx="22">
                  <c:v>9.4063245247455125</c:v>
                </c:pt>
                <c:pt idx="23">
                  <c:v>9.3117450017986592</c:v>
                </c:pt>
                <c:pt idx="24">
                  <c:v>13.187974265798752</c:v>
                </c:pt>
                <c:pt idx="25">
                  <c:v>7.3663414373747305</c:v>
                </c:pt>
                <c:pt idx="26">
                  <c:v>7.7933162533884772</c:v>
                </c:pt>
                <c:pt idx="27">
                  <c:v>12.368643586703339</c:v>
                </c:pt>
                <c:pt idx="28">
                  <c:v>5.8604782399765973</c:v>
                </c:pt>
                <c:pt idx="29">
                  <c:v>7.7275076588560534</c:v>
                </c:pt>
                <c:pt idx="30">
                  <c:v>9.2387545585308857</c:v>
                </c:pt>
                <c:pt idx="31">
                  <c:v>7.1492005964149064</c:v>
                </c:pt>
                <c:pt idx="32">
                  <c:v>7.196955172491375</c:v>
                </c:pt>
                <c:pt idx="33">
                  <c:v>5.809958277324883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8A-4822-9446-9AD12645E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153199"/>
        <c:axId val="237150319"/>
      </c:lineChart>
      <c:catAx>
        <c:axId val="189220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2200928"/>
        <c:crosses val="autoZero"/>
        <c:auto val="1"/>
        <c:lblAlgn val="ctr"/>
        <c:lblOffset val="100"/>
        <c:noMultiLvlLbl val="0"/>
      </c:catAx>
      <c:valAx>
        <c:axId val="189220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2201888"/>
        <c:crosses val="autoZero"/>
        <c:crossBetween val="between"/>
      </c:valAx>
      <c:valAx>
        <c:axId val="2371503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7153199"/>
        <c:crosses val="max"/>
        <c:crossBetween val="between"/>
      </c:valAx>
      <c:catAx>
        <c:axId val="2371531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71503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7915800881729203E-2"/>
          <c:y val="3.2284095443240471E-2"/>
          <c:w val="0.93526967667699146"/>
          <c:h val="0.6589152974962143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'Baseline Fat Mass Results'!$G$99</c:f>
              <c:strCache>
                <c:ptCount val="1"/>
                <c:pt idx="0">
                  <c:v>Average migration distance (km/Agent)</c:v>
                </c:pt>
              </c:strCache>
            </c:strRef>
          </c:tx>
          <c:spPr>
            <a:solidFill>
              <a:srgbClr val="C0504D">
                <a:lumMod val="40000"/>
                <a:lumOff val="60000"/>
              </a:srgbClr>
            </a:solidFill>
            <a:ln>
              <a:noFill/>
            </a:ln>
            <a:effectLst/>
          </c:spPr>
          <c:invertIfNegative val="0"/>
          <c:cat>
            <c:strRef>
              <c:f>'Baseline Fat Mass Results'!$B$100:$B$156</c:f>
              <c:strCache>
                <c:ptCount val="57"/>
                <c:pt idx="0">
                  <c:v> Utatsusaurus hataii-245Ma </c:v>
                </c:pt>
                <c:pt idx="1">
                  <c:v> Parvinatator wapitiensis-240Ma </c:v>
                </c:pt>
                <c:pt idx="2">
                  <c:v> Phalarodon callawayi-240Ma </c:v>
                </c:pt>
                <c:pt idx="3">
                  <c:v> Mikadocephalus gracilirostris-240Ma </c:v>
                </c:pt>
                <c:pt idx="4">
                  <c:v> Mikadocephalus gracilirostris-245Ma </c:v>
                </c:pt>
                <c:pt idx="5">
                  <c:v> Hudsonelpidia brevirostris-225Ma </c:v>
                </c:pt>
                <c:pt idx="6">
                  <c:v> Mixosaurus cornalianus-240Ma </c:v>
                </c:pt>
                <c:pt idx="7">
                  <c:v> Besanosaurus leptorhynchus-240Ma </c:v>
                </c:pt>
                <c:pt idx="8">
                  <c:v> Macgowania janiceps-220Ma </c:v>
                </c:pt>
                <c:pt idx="9">
                  <c:v> Mixosaurus cornalianus-245Ma </c:v>
                </c:pt>
                <c:pt idx="10">
                  <c:v> Shastasaurus sikanniensis-215Ma </c:v>
                </c:pt>
                <c:pt idx="11">
                  <c:v> Phalarodon callawayi-245Ma </c:v>
                </c:pt>
                <c:pt idx="12">
                  <c:v> Phantomosaurus neubigi-245Ma </c:v>
                </c:pt>
                <c:pt idx="13">
                  <c:v> Omphalosaurus nevadanus-245Ma </c:v>
                </c:pt>
                <c:pt idx="14">
                  <c:v> Cymbospondylus buchseri-240Ma </c:v>
                </c:pt>
                <c:pt idx="15">
                  <c:v> Phalarodon fraasi-245Ma </c:v>
                </c:pt>
                <c:pt idx="16">
                  <c:v> Besanosaurus leptorhynchus-245Ma </c:v>
                </c:pt>
                <c:pt idx="17">
                  <c:v> Callarwayia wolongganagense-230Ma </c:v>
                </c:pt>
                <c:pt idx="18">
                  <c:v> Himalayasaurus tibetensis-220Ma </c:v>
                </c:pt>
                <c:pt idx="19">
                  <c:v> Shastasaurus tangae-235Ma </c:v>
                </c:pt>
                <c:pt idx="20">
                  <c:v> Callawayia neoscapularis-220Ma </c:v>
                </c:pt>
                <c:pt idx="21">
                  <c:v> Cymbospondylus nichollsi-240Ma </c:v>
                </c:pt>
                <c:pt idx="22">
                  <c:v> Cymbospondylus duelferi-240Ma </c:v>
                </c:pt>
                <c:pt idx="23">
                  <c:v> Hudsonelpidia brevirostris-220Ma </c:v>
                </c:pt>
                <c:pt idx="24">
                  <c:v> Cymbospondylus duelferi-245Ma </c:v>
                </c:pt>
                <c:pt idx="25">
                  <c:v> Parvinatator wapitiensis-245Ma </c:v>
                </c:pt>
                <c:pt idx="26">
                  <c:v> Cymbospondylus piscosus-245Ma </c:v>
                </c:pt>
                <c:pt idx="27">
                  <c:v> Phalarodon atavus-245Ma </c:v>
                </c:pt>
                <c:pt idx="28">
                  <c:v> Himalayasaurus tibetensis-215Ma </c:v>
                </c:pt>
                <c:pt idx="29">
                  <c:v> Omphalosaurus wolfi-240Ma </c:v>
                </c:pt>
                <c:pt idx="30">
                  <c:v> Thalattoarchon saurophagis-245Ma </c:v>
                </c:pt>
                <c:pt idx="31">
                  <c:v> Grippia longirostris-245Ma </c:v>
                </c:pt>
                <c:pt idx="32">
                  <c:v> Phalarodon fraasi-240Ma </c:v>
                </c:pt>
                <c:pt idx="33">
                  <c:v> Cymbospondylus nichollsi-245Ma </c:v>
                </c:pt>
                <c:pt idx="34">
                  <c:v> Gulosaurus helmi-245Ma </c:v>
                </c:pt>
                <c:pt idx="35">
                  <c:v> Californosaurus perrini-230Ma </c:v>
                </c:pt>
                <c:pt idx="36">
                  <c:v> Thaisaurus chonglakmanii-245Ma </c:v>
                </c:pt>
                <c:pt idx="37">
                  <c:v> Cymbospondylus piscosus-240Ma </c:v>
                </c:pt>
                <c:pt idx="38">
                  <c:v> Toretocnemus californicus-230Ma </c:v>
                </c:pt>
                <c:pt idx="39">
                  <c:v> Cymbospondylus buchseri-245Ma </c:v>
                </c:pt>
                <c:pt idx="40">
                  <c:v> Toretocnemus zitteli-230Ma </c:v>
                </c:pt>
                <c:pt idx="41">
                  <c:v> Shastasaurus tangae-230Ma </c:v>
                </c:pt>
                <c:pt idx="42">
                  <c:v> Shastasaurus pacificus-235Ma </c:v>
                </c:pt>
                <c:pt idx="43">
                  <c:v> Qianichthyosaurus xingyiensis-235Ma </c:v>
                </c:pt>
                <c:pt idx="44">
                  <c:v> Xinminosaurus catactes-245Ma </c:v>
                </c:pt>
                <c:pt idx="45">
                  <c:v> Sclerocormus parviceps-245Ma </c:v>
                </c:pt>
                <c:pt idx="46">
                  <c:v> Chaohusaurus chaoxianensis-245Ma </c:v>
                </c:pt>
                <c:pt idx="47">
                  <c:v> Barracudasauroides panxianensis-245Ma </c:v>
                </c:pt>
                <c:pt idx="48">
                  <c:v> Shastasaurus liangae-235Ma </c:v>
                </c:pt>
                <c:pt idx="49">
                  <c:v> Chaohusaurus zhangjiawanensis-245Ma </c:v>
                </c:pt>
                <c:pt idx="50">
                  <c:v> Shastasaurus pacificus-230Ma </c:v>
                </c:pt>
                <c:pt idx="51">
                  <c:v> Chaohusaurus geishanensis-245Ma </c:v>
                </c:pt>
                <c:pt idx="52">
                  <c:v> Cartorhynchus lenticarpus-245Ma </c:v>
                </c:pt>
                <c:pt idx="53">
                  <c:v> Shonisaurus popularis-230Ma </c:v>
                </c:pt>
                <c:pt idx="54">
                  <c:v> Qianichthyosaurus zhoui-235Ma </c:v>
                </c:pt>
                <c:pt idx="55">
                  <c:v> Quasianosteosaurus vikinghoegdai-245Ma </c:v>
                </c:pt>
                <c:pt idx="56">
                  <c:v> Callarwayia wolongganagense-235Ma </c:v>
                </c:pt>
              </c:strCache>
            </c:strRef>
          </c:cat>
          <c:val>
            <c:numRef>
              <c:f>'Baseline Fat Mass Results'!$G$100:$G$156</c:f>
              <c:numCache>
                <c:formatCode>General</c:formatCode>
                <c:ptCount val="57"/>
                <c:pt idx="0">
                  <c:v>5041.9530812012454</c:v>
                </c:pt>
                <c:pt idx="1">
                  <c:v>3736.2750636093701</c:v>
                </c:pt>
                <c:pt idx="2">
                  <c:v>2890.2704048689648</c:v>
                </c:pt>
                <c:pt idx="3">
                  <c:v>2838.0757765659</c:v>
                </c:pt>
                <c:pt idx="4">
                  <c:v>2786.2052804827799</c:v>
                </c:pt>
                <c:pt idx="5">
                  <c:v>2752.3958543458302</c:v>
                </c:pt>
                <c:pt idx="6">
                  <c:v>2699.107555087855</c:v>
                </c:pt>
                <c:pt idx="7">
                  <c:v>2539.1245122678747</c:v>
                </c:pt>
                <c:pt idx="8">
                  <c:v>2473.9291174889249</c:v>
                </c:pt>
                <c:pt idx="9">
                  <c:v>2071.5744693638499</c:v>
                </c:pt>
                <c:pt idx="10">
                  <c:v>1801.24368879247</c:v>
                </c:pt>
                <c:pt idx="11">
                  <c:v>1743.50901033592</c:v>
                </c:pt>
                <c:pt idx="12">
                  <c:v>1635.990624111605</c:v>
                </c:pt>
                <c:pt idx="13">
                  <c:v>1569.3512818194849</c:v>
                </c:pt>
                <c:pt idx="14">
                  <c:v>1555.1002554545398</c:v>
                </c:pt>
                <c:pt idx="15">
                  <c:v>1531.1573246331</c:v>
                </c:pt>
                <c:pt idx="16">
                  <c:v>1491.015703826215</c:v>
                </c:pt>
                <c:pt idx="17">
                  <c:v>1326.5860656151001</c:v>
                </c:pt>
                <c:pt idx="18">
                  <c:v>1300.2887017718051</c:v>
                </c:pt>
                <c:pt idx="19">
                  <c:v>1254.4615784370048</c:v>
                </c:pt>
                <c:pt idx="20">
                  <c:v>1239.4358357024601</c:v>
                </c:pt>
                <c:pt idx="21">
                  <c:v>1190.2858970171001</c:v>
                </c:pt>
                <c:pt idx="22">
                  <c:v>1163.4713869198949</c:v>
                </c:pt>
                <c:pt idx="23">
                  <c:v>1098.6164000085901</c:v>
                </c:pt>
                <c:pt idx="24">
                  <c:v>1033.5658472290252</c:v>
                </c:pt>
                <c:pt idx="25">
                  <c:v>987.98033024057008</c:v>
                </c:pt>
                <c:pt idx="26">
                  <c:v>969.56990166315495</c:v>
                </c:pt>
                <c:pt idx="27">
                  <c:v>928.60673304538</c:v>
                </c:pt>
                <c:pt idx="28">
                  <c:v>919.2218205167801</c:v>
                </c:pt>
                <c:pt idx="29">
                  <c:v>904.17104642986499</c:v>
                </c:pt>
                <c:pt idx="30">
                  <c:v>898.40097934259506</c:v>
                </c:pt>
                <c:pt idx="31">
                  <c:v>865.84023907385995</c:v>
                </c:pt>
                <c:pt idx="32">
                  <c:v>828.40717532790995</c:v>
                </c:pt>
                <c:pt idx="33">
                  <c:v>816.00714279967997</c:v>
                </c:pt>
                <c:pt idx="34">
                  <c:v>784.26055109267008</c:v>
                </c:pt>
                <c:pt idx="35">
                  <c:v>773.36662402739501</c:v>
                </c:pt>
                <c:pt idx="36">
                  <c:v>762.37734309962002</c:v>
                </c:pt>
                <c:pt idx="37">
                  <c:v>757.6907652589</c:v>
                </c:pt>
                <c:pt idx="38">
                  <c:v>739.14756024911503</c:v>
                </c:pt>
                <c:pt idx="39">
                  <c:v>724.89211417463503</c:v>
                </c:pt>
                <c:pt idx="40">
                  <c:v>711.29339939524993</c:v>
                </c:pt>
                <c:pt idx="41">
                  <c:v>700.80054628702499</c:v>
                </c:pt>
                <c:pt idx="42">
                  <c:v>694.14683674902994</c:v>
                </c:pt>
                <c:pt idx="43">
                  <c:v>664.06864097563994</c:v>
                </c:pt>
                <c:pt idx="44">
                  <c:v>656.98150144762496</c:v>
                </c:pt>
                <c:pt idx="45">
                  <c:v>650.46899966716001</c:v>
                </c:pt>
                <c:pt idx="46">
                  <c:v>617.09860981760494</c:v>
                </c:pt>
                <c:pt idx="47">
                  <c:v>607.73099609685005</c:v>
                </c:pt>
                <c:pt idx="48">
                  <c:v>602.88891716389503</c:v>
                </c:pt>
                <c:pt idx="49">
                  <c:v>558.13137868271997</c:v>
                </c:pt>
                <c:pt idx="50">
                  <c:v>552.67727489028005</c:v>
                </c:pt>
                <c:pt idx="51">
                  <c:v>539.466948710005</c:v>
                </c:pt>
                <c:pt idx="52">
                  <c:v>525.28583565416011</c:v>
                </c:pt>
                <c:pt idx="53">
                  <c:v>503.53441867836995</c:v>
                </c:pt>
                <c:pt idx="54">
                  <c:v>474.92236853624001</c:v>
                </c:pt>
                <c:pt idx="55">
                  <c:v>454.73125317327504</c:v>
                </c:pt>
                <c:pt idx="56">
                  <c:v>424.21553555320497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C-4EF7-A191-E0CA9C9D5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1442991"/>
        <c:axId val="561445391"/>
      </c:barChart>
      <c:lineChart>
        <c:grouping val="standard"/>
        <c:varyColors val="0"/>
        <c:ser>
          <c:idx val="0"/>
          <c:order val="0"/>
          <c:tx>
            <c:strRef>
              <c:f>'Baseline Fat Mass Results'!$C$99</c:f>
              <c:strCache>
                <c:ptCount val="1"/>
                <c:pt idx="0">
                  <c:v>Body length(m)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'Baseline Fat Mass Results'!$B$100:$B$156</c:f>
              <c:strCache>
                <c:ptCount val="57"/>
                <c:pt idx="0">
                  <c:v> Utatsusaurus hataii-245Ma </c:v>
                </c:pt>
                <c:pt idx="1">
                  <c:v> Parvinatator wapitiensis-240Ma </c:v>
                </c:pt>
                <c:pt idx="2">
                  <c:v> Phalarodon callawayi-240Ma </c:v>
                </c:pt>
                <c:pt idx="3">
                  <c:v> Mikadocephalus gracilirostris-240Ma </c:v>
                </c:pt>
                <c:pt idx="4">
                  <c:v> Mikadocephalus gracilirostris-245Ma </c:v>
                </c:pt>
                <c:pt idx="5">
                  <c:v> Hudsonelpidia brevirostris-225Ma </c:v>
                </c:pt>
                <c:pt idx="6">
                  <c:v> Mixosaurus cornalianus-240Ma </c:v>
                </c:pt>
                <c:pt idx="7">
                  <c:v> Besanosaurus leptorhynchus-240Ma </c:v>
                </c:pt>
                <c:pt idx="8">
                  <c:v> Macgowania janiceps-220Ma </c:v>
                </c:pt>
                <c:pt idx="9">
                  <c:v> Mixosaurus cornalianus-245Ma </c:v>
                </c:pt>
                <c:pt idx="10">
                  <c:v> Shastasaurus sikanniensis-215Ma </c:v>
                </c:pt>
                <c:pt idx="11">
                  <c:v> Phalarodon callawayi-245Ma </c:v>
                </c:pt>
                <c:pt idx="12">
                  <c:v> Phantomosaurus neubigi-245Ma </c:v>
                </c:pt>
                <c:pt idx="13">
                  <c:v> Omphalosaurus nevadanus-245Ma </c:v>
                </c:pt>
                <c:pt idx="14">
                  <c:v> Cymbospondylus buchseri-240Ma </c:v>
                </c:pt>
                <c:pt idx="15">
                  <c:v> Phalarodon fraasi-245Ma </c:v>
                </c:pt>
                <c:pt idx="16">
                  <c:v> Besanosaurus leptorhynchus-245Ma </c:v>
                </c:pt>
                <c:pt idx="17">
                  <c:v> Callarwayia wolongganagense-230Ma </c:v>
                </c:pt>
                <c:pt idx="18">
                  <c:v> Himalayasaurus tibetensis-220Ma </c:v>
                </c:pt>
                <c:pt idx="19">
                  <c:v> Shastasaurus tangae-235Ma </c:v>
                </c:pt>
                <c:pt idx="20">
                  <c:v> Callawayia neoscapularis-220Ma </c:v>
                </c:pt>
                <c:pt idx="21">
                  <c:v> Cymbospondylus nichollsi-240Ma </c:v>
                </c:pt>
                <c:pt idx="22">
                  <c:v> Cymbospondylus duelferi-240Ma </c:v>
                </c:pt>
                <c:pt idx="23">
                  <c:v> Hudsonelpidia brevirostris-220Ma </c:v>
                </c:pt>
                <c:pt idx="24">
                  <c:v> Cymbospondylus duelferi-245Ma </c:v>
                </c:pt>
                <c:pt idx="25">
                  <c:v> Parvinatator wapitiensis-245Ma </c:v>
                </c:pt>
                <c:pt idx="26">
                  <c:v> Cymbospondylus piscosus-245Ma </c:v>
                </c:pt>
                <c:pt idx="27">
                  <c:v> Phalarodon atavus-245Ma </c:v>
                </c:pt>
                <c:pt idx="28">
                  <c:v> Himalayasaurus tibetensis-215Ma </c:v>
                </c:pt>
                <c:pt idx="29">
                  <c:v> Omphalosaurus wolfi-240Ma </c:v>
                </c:pt>
                <c:pt idx="30">
                  <c:v> Thalattoarchon saurophagis-245Ma </c:v>
                </c:pt>
                <c:pt idx="31">
                  <c:v> Grippia longirostris-245Ma </c:v>
                </c:pt>
                <c:pt idx="32">
                  <c:v> Phalarodon fraasi-240Ma </c:v>
                </c:pt>
                <c:pt idx="33">
                  <c:v> Cymbospondylus nichollsi-245Ma </c:v>
                </c:pt>
                <c:pt idx="34">
                  <c:v> Gulosaurus helmi-245Ma </c:v>
                </c:pt>
                <c:pt idx="35">
                  <c:v> Californosaurus perrini-230Ma </c:v>
                </c:pt>
                <c:pt idx="36">
                  <c:v> Thaisaurus chonglakmanii-245Ma </c:v>
                </c:pt>
                <c:pt idx="37">
                  <c:v> Cymbospondylus piscosus-240Ma </c:v>
                </c:pt>
                <c:pt idx="38">
                  <c:v> Toretocnemus californicus-230Ma </c:v>
                </c:pt>
                <c:pt idx="39">
                  <c:v> Cymbospondylus buchseri-245Ma </c:v>
                </c:pt>
                <c:pt idx="40">
                  <c:v> Toretocnemus zitteli-230Ma </c:v>
                </c:pt>
                <c:pt idx="41">
                  <c:v> Shastasaurus tangae-230Ma </c:v>
                </c:pt>
                <c:pt idx="42">
                  <c:v> Shastasaurus pacificus-235Ma </c:v>
                </c:pt>
                <c:pt idx="43">
                  <c:v> Qianichthyosaurus xingyiensis-235Ma </c:v>
                </c:pt>
                <c:pt idx="44">
                  <c:v> Xinminosaurus catactes-245Ma </c:v>
                </c:pt>
                <c:pt idx="45">
                  <c:v> Sclerocormus parviceps-245Ma </c:v>
                </c:pt>
                <c:pt idx="46">
                  <c:v> Chaohusaurus chaoxianensis-245Ma </c:v>
                </c:pt>
                <c:pt idx="47">
                  <c:v> Barracudasauroides panxianensis-245Ma </c:v>
                </c:pt>
                <c:pt idx="48">
                  <c:v> Shastasaurus liangae-235Ma </c:v>
                </c:pt>
                <c:pt idx="49">
                  <c:v> Chaohusaurus zhangjiawanensis-245Ma </c:v>
                </c:pt>
                <c:pt idx="50">
                  <c:v> Shastasaurus pacificus-230Ma </c:v>
                </c:pt>
                <c:pt idx="51">
                  <c:v> Chaohusaurus geishanensis-245Ma </c:v>
                </c:pt>
                <c:pt idx="52">
                  <c:v> Cartorhynchus lenticarpus-245Ma </c:v>
                </c:pt>
                <c:pt idx="53">
                  <c:v> Shonisaurus popularis-230Ma </c:v>
                </c:pt>
                <c:pt idx="54">
                  <c:v> Qianichthyosaurus zhoui-235Ma </c:v>
                </c:pt>
                <c:pt idx="55">
                  <c:v> Quasianosteosaurus vikinghoegdai-245Ma </c:v>
                </c:pt>
                <c:pt idx="56">
                  <c:v> Callarwayia wolongganagense-235Ma </c:v>
                </c:pt>
              </c:strCache>
            </c:strRef>
          </c:cat>
          <c:val>
            <c:numRef>
              <c:f>'Baseline Fat Mass Results'!$C$100:$C$156</c:f>
              <c:numCache>
                <c:formatCode>General</c:formatCode>
                <c:ptCount val="57"/>
                <c:pt idx="0">
                  <c:v>3</c:v>
                </c:pt>
                <c:pt idx="1">
                  <c:v>1</c:v>
                </c:pt>
                <c:pt idx="2">
                  <c:v>1.5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1.5</c:v>
                </c:pt>
                <c:pt idx="7">
                  <c:v>8</c:v>
                </c:pt>
                <c:pt idx="8">
                  <c:v>3</c:v>
                </c:pt>
                <c:pt idx="9">
                  <c:v>1.5</c:v>
                </c:pt>
                <c:pt idx="10">
                  <c:v>21</c:v>
                </c:pt>
                <c:pt idx="11">
                  <c:v>1.5</c:v>
                </c:pt>
                <c:pt idx="12">
                  <c:v>5</c:v>
                </c:pt>
                <c:pt idx="13">
                  <c:v>2</c:v>
                </c:pt>
                <c:pt idx="14">
                  <c:v>5.5</c:v>
                </c:pt>
                <c:pt idx="15">
                  <c:v>1</c:v>
                </c:pt>
                <c:pt idx="16">
                  <c:v>8</c:v>
                </c:pt>
                <c:pt idx="17">
                  <c:v>3</c:v>
                </c:pt>
                <c:pt idx="18">
                  <c:v>15</c:v>
                </c:pt>
                <c:pt idx="19">
                  <c:v>10</c:v>
                </c:pt>
                <c:pt idx="20">
                  <c:v>2</c:v>
                </c:pt>
                <c:pt idx="21">
                  <c:v>7.6</c:v>
                </c:pt>
                <c:pt idx="22">
                  <c:v>4.3</c:v>
                </c:pt>
                <c:pt idx="23">
                  <c:v>2</c:v>
                </c:pt>
                <c:pt idx="24">
                  <c:v>4.3</c:v>
                </c:pt>
                <c:pt idx="25">
                  <c:v>1</c:v>
                </c:pt>
                <c:pt idx="26">
                  <c:v>18</c:v>
                </c:pt>
                <c:pt idx="27">
                  <c:v>1</c:v>
                </c:pt>
                <c:pt idx="28">
                  <c:v>15</c:v>
                </c:pt>
                <c:pt idx="29">
                  <c:v>3.5</c:v>
                </c:pt>
                <c:pt idx="30">
                  <c:v>8.6</c:v>
                </c:pt>
                <c:pt idx="31">
                  <c:v>1.5</c:v>
                </c:pt>
                <c:pt idx="32">
                  <c:v>1</c:v>
                </c:pt>
                <c:pt idx="33">
                  <c:v>7.6</c:v>
                </c:pt>
                <c:pt idx="34">
                  <c:v>1.5</c:v>
                </c:pt>
                <c:pt idx="35">
                  <c:v>3</c:v>
                </c:pt>
                <c:pt idx="36">
                  <c:v>1.5</c:v>
                </c:pt>
                <c:pt idx="37">
                  <c:v>18</c:v>
                </c:pt>
                <c:pt idx="38">
                  <c:v>1</c:v>
                </c:pt>
                <c:pt idx="39">
                  <c:v>5.5</c:v>
                </c:pt>
                <c:pt idx="40">
                  <c:v>2</c:v>
                </c:pt>
                <c:pt idx="41">
                  <c:v>10</c:v>
                </c:pt>
                <c:pt idx="42">
                  <c:v>7</c:v>
                </c:pt>
                <c:pt idx="43">
                  <c:v>1.3</c:v>
                </c:pt>
                <c:pt idx="44">
                  <c:v>2.2999999999999998</c:v>
                </c:pt>
                <c:pt idx="45">
                  <c:v>1.6</c:v>
                </c:pt>
                <c:pt idx="46">
                  <c:v>1.3</c:v>
                </c:pt>
                <c:pt idx="47">
                  <c:v>1</c:v>
                </c:pt>
                <c:pt idx="48">
                  <c:v>9.25</c:v>
                </c:pt>
                <c:pt idx="49">
                  <c:v>1</c:v>
                </c:pt>
                <c:pt idx="50">
                  <c:v>7</c:v>
                </c:pt>
                <c:pt idx="51">
                  <c:v>1.8</c:v>
                </c:pt>
                <c:pt idx="52">
                  <c:v>0.4</c:v>
                </c:pt>
                <c:pt idx="53">
                  <c:v>15</c:v>
                </c:pt>
                <c:pt idx="54">
                  <c:v>1.5</c:v>
                </c:pt>
                <c:pt idx="55">
                  <c:v>0.5</c:v>
                </c:pt>
                <c:pt idx="5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7C-4EF7-A191-E0CA9C9D5830}"/>
            </c:ext>
          </c:extLst>
        </c:ser>
        <c:ser>
          <c:idx val="2"/>
          <c:order val="2"/>
          <c:tx>
            <c:strRef>
              <c:f>'Baseline Fat Mass Results'!$H$99</c:f>
              <c:strCache>
                <c:ptCount val="1"/>
                <c:pt idx="0">
                  <c:v>Average completion time (year/Agent)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'Baseline Fat Mass Results'!$B$100:$B$156</c:f>
              <c:strCache>
                <c:ptCount val="57"/>
                <c:pt idx="0">
                  <c:v> Utatsusaurus hataii-245Ma </c:v>
                </c:pt>
                <c:pt idx="1">
                  <c:v> Parvinatator wapitiensis-240Ma </c:v>
                </c:pt>
                <c:pt idx="2">
                  <c:v> Phalarodon callawayi-240Ma </c:v>
                </c:pt>
                <c:pt idx="3">
                  <c:v> Mikadocephalus gracilirostris-240Ma </c:v>
                </c:pt>
                <c:pt idx="4">
                  <c:v> Mikadocephalus gracilirostris-245Ma </c:v>
                </c:pt>
                <c:pt idx="5">
                  <c:v> Hudsonelpidia brevirostris-225Ma </c:v>
                </c:pt>
                <c:pt idx="6">
                  <c:v> Mixosaurus cornalianus-240Ma </c:v>
                </c:pt>
                <c:pt idx="7">
                  <c:v> Besanosaurus leptorhynchus-240Ma </c:v>
                </c:pt>
                <c:pt idx="8">
                  <c:v> Macgowania janiceps-220Ma </c:v>
                </c:pt>
                <c:pt idx="9">
                  <c:v> Mixosaurus cornalianus-245Ma </c:v>
                </c:pt>
                <c:pt idx="10">
                  <c:v> Shastasaurus sikanniensis-215Ma </c:v>
                </c:pt>
                <c:pt idx="11">
                  <c:v> Phalarodon callawayi-245Ma </c:v>
                </c:pt>
                <c:pt idx="12">
                  <c:v> Phantomosaurus neubigi-245Ma </c:v>
                </c:pt>
                <c:pt idx="13">
                  <c:v> Omphalosaurus nevadanus-245Ma </c:v>
                </c:pt>
                <c:pt idx="14">
                  <c:v> Cymbospondylus buchseri-240Ma </c:v>
                </c:pt>
                <c:pt idx="15">
                  <c:v> Phalarodon fraasi-245Ma </c:v>
                </c:pt>
                <c:pt idx="16">
                  <c:v> Besanosaurus leptorhynchus-245Ma </c:v>
                </c:pt>
                <c:pt idx="17">
                  <c:v> Callarwayia wolongganagense-230Ma </c:v>
                </c:pt>
                <c:pt idx="18">
                  <c:v> Himalayasaurus tibetensis-220Ma </c:v>
                </c:pt>
                <c:pt idx="19">
                  <c:v> Shastasaurus tangae-235Ma </c:v>
                </c:pt>
                <c:pt idx="20">
                  <c:v> Callawayia neoscapularis-220Ma </c:v>
                </c:pt>
                <c:pt idx="21">
                  <c:v> Cymbospondylus nichollsi-240Ma </c:v>
                </c:pt>
                <c:pt idx="22">
                  <c:v> Cymbospondylus duelferi-240Ma </c:v>
                </c:pt>
                <c:pt idx="23">
                  <c:v> Hudsonelpidia brevirostris-220Ma </c:v>
                </c:pt>
                <c:pt idx="24">
                  <c:v> Cymbospondylus duelferi-245Ma </c:v>
                </c:pt>
                <c:pt idx="25">
                  <c:v> Parvinatator wapitiensis-245Ma </c:v>
                </c:pt>
                <c:pt idx="26">
                  <c:v> Cymbospondylus piscosus-245Ma </c:v>
                </c:pt>
                <c:pt idx="27">
                  <c:v> Phalarodon atavus-245Ma </c:v>
                </c:pt>
                <c:pt idx="28">
                  <c:v> Himalayasaurus tibetensis-215Ma </c:v>
                </c:pt>
                <c:pt idx="29">
                  <c:v> Omphalosaurus wolfi-240Ma </c:v>
                </c:pt>
                <c:pt idx="30">
                  <c:v> Thalattoarchon saurophagis-245Ma </c:v>
                </c:pt>
                <c:pt idx="31">
                  <c:v> Grippia longirostris-245Ma </c:v>
                </c:pt>
                <c:pt idx="32">
                  <c:v> Phalarodon fraasi-240Ma </c:v>
                </c:pt>
                <c:pt idx="33">
                  <c:v> Cymbospondylus nichollsi-245Ma </c:v>
                </c:pt>
                <c:pt idx="34">
                  <c:v> Gulosaurus helmi-245Ma </c:v>
                </c:pt>
                <c:pt idx="35">
                  <c:v> Californosaurus perrini-230Ma </c:v>
                </c:pt>
                <c:pt idx="36">
                  <c:v> Thaisaurus chonglakmanii-245Ma </c:v>
                </c:pt>
                <c:pt idx="37">
                  <c:v> Cymbospondylus piscosus-240Ma </c:v>
                </c:pt>
                <c:pt idx="38">
                  <c:v> Toretocnemus californicus-230Ma </c:v>
                </c:pt>
                <c:pt idx="39">
                  <c:v> Cymbospondylus buchseri-245Ma </c:v>
                </c:pt>
                <c:pt idx="40">
                  <c:v> Toretocnemus zitteli-230Ma </c:v>
                </c:pt>
                <c:pt idx="41">
                  <c:v> Shastasaurus tangae-230Ma </c:v>
                </c:pt>
                <c:pt idx="42">
                  <c:v> Shastasaurus pacificus-235Ma </c:v>
                </c:pt>
                <c:pt idx="43">
                  <c:v> Qianichthyosaurus xingyiensis-235Ma </c:v>
                </c:pt>
                <c:pt idx="44">
                  <c:v> Xinminosaurus catactes-245Ma </c:v>
                </c:pt>
                <c:pt idx="45">
                  <c:v> Sclerocormus parviceps-245Ma </c:v>
                </c:pt>
                <c:pt idx="46">
                  <c:v> Chaohusaurus chaoxianensis-245Ma </c:v>
                </c:pt>
                <c:pt idx="47">
                  <c:v> Barracudasauroides panxianensis-245Ma </c:v>
                </c:pt>
                <c:pt idx="48">
                  <c:v> Shastasaurus liangae-235Ma </c:v>
                </c:pt>
                <c:pt idx="49">
                  <c:v> Chaohusaurus zhangjiawanensis-245Ma </c:v>
                </c:pt>
                <c:pt idx="50">
                  <c:v> Shastasaurus pacificus-230Ma </c:v>
                </c:pt>
                <c:pt idx="51">
                  <c:v> Chaohusaurus geishanensis-245Ma </c:v>
                </c:pt>
                <c:pt idx="52">
                  <c:v> Cartorhynchus lenticarpus-245Ma </c:v>
                </c:pt>
                <c:pt idx="53">
                  <c:v> Shonisaurus popularis-230Ma </c:v>
                </c:pt>
                <c:pt idx="54">
                  <c:v> Qianichthyosaurus zhoui-235Ma </c:v>
                </c:pt>
                <c:pt idx="55">
                  <c:v> Quasianosteosaurus vikinghoegdai-245Ma </c:v>
                </c:pt>
                <c:pt idx="56">
                  <c:v> Callarwayia wolongganagense-235Ma </c:v>
                </c:pt>
              </c:strCache>
            </c:strRef>
          </c:cat>
          <c:val>
            <c:numRef>
              <c:f>'Baseline Fat Mass Results'!$H$100:$H$156</c:f>
              <c:numCache>
                <c:formatCode>0.0_);[Red]\(0.0\)</c:formatCode>
                <c:ptCount val="57"/>
                <c:pt idx="0">
                  <c:v>8.0519875811703763</c:v>
                </c:pt>
                <c:pt idx="1">
                  <c:v>15.489470645957367</c:v>
                </c:pt>
                <c:pt idx="2">
                  <c:v>10.410469810402144</c:v>
                </c:pt>
                <c:pt idx="3">
                  <c:v>10.44848375649269</c:v>
                </c:pt>
                <c:pt idx="4">
                  <c:v>11.002545975062644</c:v>
                </c:pt>
                <c:pt idx="5">
                  <c:v>8.1518053255316314</c:v>
                </c:pt>
                <c:pt idx="6">
                  <c:v>12.136832312090673</c:v>
                </c:pt>
                <c:pt idx="7">
                  <c:v>4.2935345946802705</c:v>
                </c:pt>
                <c:pt idx="8">
                  <c:v>7.1602004340473266</c:v>
                </c:pt>
                <c:pt idx="9">
                  <c:v>11.963205156735382</c:v>
                </c:pt>
                <c:pt idx="10">
                  <c:v>2.5228761541573284</c:v>
                </c:pt>
                <c:pt idx="11">
                  <c:v>10.783402305833635</c:v>
                </c:pt>
                <c:pt idx="12">
                  <c:v>5.483064609080464</c:v>
                </c:pt>
                <c:pt idx="13">
                  <c:v>11.069305721494974</c:v>
                </c:pt>
                <c:pt idx="14">
                  <c:v>5.7493422044865872</c:v>
                </c:pt>
                <c:pt idx="15">
                  <c:v>11.688252125468813</c:v>
                </c:pt>
                <c:pt idx="16">
                  <c:v>4.3307620153811204</c:v>
                </c:pt>
                <c:pt idx="17">
                  <c:v>10.858540734365249</c:v>
                </c:pt>
                <c:pt idx="18">
                  <c:v>3.3998292934883469</c:v>
                </c:pt>
                <c:pt idx="19">
                  <c:v>3.4652356919195522</c:v>
                </c:pt>
                <c:pt idx="20">
                  <c:v>2.8644242521360348</c:v>
                </c:pt>
                <c:pt idx="21">
                  <c:v>5.005761116067954</c:v>
                </c:pt>
                <c:pt idx="22">
                  <c:v>6.8802912078101066</c:v>
                </c:pt>
                <c:pt idx="23">
                  <c:v>9.0736446283112784</c:v>
                </c:pt>
                <c:pt idx="24">
                  <c:v>6.9805318676010915</c:v>
                </c:pt>
                <c:pt idx="25">
                  <c:v>15.175245169287528</c:v>
                </c:pt>
                <c:pt idx="26">
                  <c:v>3.0396030529604103</c:v>
                </c:pt>
                <c:pt idx="27">
                  <c:v>12.792880800542997</c:v>
                </c:pt>
                <c:pt idx="28">
                  <c:v>3.399184072566638</c:v>
                </c:pt>
                <c:pt idx="29">
                  <c:v>7.8806737666896405</c:v>
                </c:pt>
                <c:pt idx="30">
                  <c:v>4.6950120742626842</c:v>
                </c:pt>
                <c:pt idx="31">
                  <c:v>11.298147837328974</c:v>
                </c:pt>
                <c:pt idx="32">
                  <c:v>12.842738396170931</c:v>
                </c:pt>
                <c:pt idx="33">
                  <c:v>5.0651116691166767</c:v>
                </c:pt>
                <c:pt idx="34">
                  <c:v>11.88707827554839</c:v>
                </c:pt>
                <c:pt idx="35">
                  <c:v>7.1119874761394275</c:v>
                </c:pt>
                <c:pt idx="36">
                  <c:v>12.548723483163258</c:v>
                </c:pt>
                <c:pt idx="37">
                  <c:v>2.997676094013952</c:v>
                </c:pt>
                <c:pt idx="38">
                  <c:v>13.428097604479753</c:v>
                </c:pt>
                <c:pt idx="39">
                  <c:v>5.9714962983056354</c:v>
                </c:pt>
                <c:pt idx="40">
                  <c:v>8.9450325079456174</c:v>
                </c:pt>
                <c:pt idx="41">
                  <c:v>3.8086357399681794</c:v>
                </c:pt>
                <c:pt idx="42">
                  <c:v>4.0669899960574103</c:v>
                </c:pt>
                <c:pt idx="43">
                  <c:v>8.8398710803561951</c:v>
                </c:pt>
                <c:pt idx="44">
                  <c:v>8.2277190186531097</c:v>
                </c:pt>
                <c:pt idx="45">
                  <c:v>11.75222485406001</c:v>
                </c:pt>
                <c:pt idx="46">
                  <c:v>11.958509813992137</c:v>
                </c:pt>
                <c:pt idx="47">
                  <c:v>10.492464536068271</c:v>
                </c:pt>
                <c:pt idx="48">
                  <c:v>3.7830649187886705</c:v>
                </c:pt>
                <c:pt idx="49">
                  <c:v>13.95121432954644</c:v>
                </c:pt>
                <c:pt idx="50">
                  <c:v>4.7570567290646242</c:v>
                </c:pt>
                <c:pt idx="51">
                  <c:v>10.046399427352011</c:v>
                </c:pt>
                <c:pt idx="52">
                  <c:v>10.871537982309789</c:v>
                </c:pt>
                <c:pt idx="53">
                  <c:v>3.0121906925011412</c:v>
                </c:pt>
                <c:pt idx="54">
                  <c:v>8.5456679324788976</c:v>
                </c:pt>
                <c:pt idx="55">
                  <c:v>21.22311811499981</c:v>
                </c:pt>
                <c:pt idx="56">
                  <c:v>8.7755496072682657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7C-4EF7-A191-E0CA9C9D5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0468624"/>
        <c:axId val="2050467184"/>
      </c:lineChart>
      <c:catAx>
        <c:axId val="56144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1445391"/>
        <c:crosses val="autoZero"/>
        <c:auto val="1"/>
        <c:lblAlgn val="ctr"/>
        <c:lblOffset val="100"/>
        <c:noMultiLvlLbl val="0"/>
      </c:catAx>
      <c:valAx>
        <c:axId val="56144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4F81BD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1442991"/>
        <c:crosses val="autoZero"/>
        <c:crossBetween val="between"/>
      </c:valAx>
      <c:valAx>
        <c:axId val="20504671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4F81BD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0468624"/>
        <c:crosses val="max"/>
        <c:crossBetween val="between"/>
      </c:valAx>
      <c:catAx>
        <c:axId val="2050468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504671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9462159771465032"/>
          <c:y val="0.13038644605241256"/>
          <c:w val="0.62347307415302367"/>
          <c:h val="0.70710959308592736"/>
        </c:manualLayout>
      </c:layout>
      <c:radarChart>
        <c:radarStyle val="marker"/>
        <c:varyColors val="0"/>
        <c:ser>
          <c:idx val="0"/>
          <c:order val="0"/>
          <c:tx>
            <c:strRef>
              <c:f>'Baseline Fat Mass Results'!$J$3</c:f>
              <c:strCache>
                <c:ptCount val="1"/>
                <c:pt idx="0">
                  <c:v>Migration Survival Rate(%)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'Baseline Fat Mass Results'!$B$4:$B$60</c:f>
              <c:strCache>
                <c:ptCount val="57"/>
                <c:pt idx="0">
                  <c:v> Utatsusaurus hataii-245MaMa </c:v>
                </c:pt>
                <c:pt idx="1">
                  <c:v> Shastasaurus sikanniensis-215Ma </c:v>
                </c:pt>
                <c:pt idx="2">
                  <c:v> Parvinatator wapitiensis-240Ma </c:v>
                </c:pt>
                <c:pt idx="3">
                  <c:v> Cymbospondylus nichollsi-240Ma </c:v>
                </c:pt>
                <c:pt idx="4">
                  <c:v> Mixosaurus cornalianus-240Ma </c:v>
                </c:pt>
                <c:pt idx="5">
                  <c:v> Phalarodon callawayi-240Ma </c:v>
                </c:pt>
                <c:pt idx="6">
                  <c:v> Macgowania janiceps-220Ma </c:v>
                </c:pt>
                <c:pt idx="7">
                  <c:v> Cymbospondylus duelferi-240Ma </c:v>
                </c:pt>
                <c:pt idx="8">
                  <c:v> Mikadocephalus gracilirostris-245Ma </c:v>
                </c:pt>
                <c:pt idx="9">
                  <c:v> Besanosaurus leptorhynchus-240Ma </c:v>
                </c:pt>
                <c:pt idx="10">
                  <c:v> Hudsonelpidia brevirostris-225Ma </c:v>
                </c:pt>
                <c:pt idx="11">
                  <c:v> Thalattoarchon saurophagis-245Ma </c:v>
                </c:pt>
                <c:pt idx="12">
                  <c:v> Besanosaurus leptorhynchus-245Ma </c:v>
                </c:pt>
                <c:pt idx="13">
                  <c:v> Cymbospondylus buchseri-245Ma </c:v>
                </c:pt>
                <c:pt idx="14">
                  <c:v> Cymbospondylus duelferi-245Ma </c:v>
                </c:pt>
                <c:pt idx="15">
                  <c:v> Mikadocephalus gracilirostris-240Ma </c:v>
                </c:pt>
                <c:pt idx="16">
                  <c:v> Phalarodon callawayi-245Ma </c:v>
                </c:pt>
                <c:pt idx="17">
                  <c:v> Hudsonelpidia brevirostris-220Ma </c:v>
                </c:pt>
                <c:pt idx="18">
                  <c:v> Mixosaurus cornalianus-245Ma </c:v>
                </c:pt>
                <c:pt idx="19">
                  <c:v> Cymbospondylus nichollsi-245Ma </c:v>
                </c:pt>
                <c:pt idx="20">
                  <c:v> Gulosaurus helmi-245Ma </c:v>
                </c:pt>
                <c:pt idx="21">
                  <c:v> Omphalosaurus wolfi-240Ma </c:v>
                </c:pt>
                <c:pt idx="22">
                  <c:v> Cymbospondylus buchseri-240Ma </c:v>
                </c:pt>
                <c:pt idx="23">
                  <c:v> Himalayasaurus tibetensis-215Ma </c:v>
                </c:pt>
                <c:pt idx="24">
                  <c:v> Callawayia neoscapularis-220Ma </c:v>
                </c:pt>
                <c:pt idx="25">
                  <c:v> Phantomosaurus neubigi-245Ma </c:v>
                </c:pt>
                <c:pt idx="26">
                  <c:v> Thaisaurus chonglakmanii-245Ma </c:v>
                </c:pt>
                <c:pt idx="27">
                  <c:v> Shastasaurus pacificus-235Ma </c:v>
                </c:pt>
                <c:pt idx="28">
                  <c:v> Cymbospondylus piscosus-245Ma </c:v>
                </c:pt>
                <c:pt idx="29">
                  <c:v> Himalayasaurus tibetensis-220Ma </c:v>
                </c:pt>
                <c:pt idx="30">
                  <c:v> Shastasaurus tangae-235Ma </c:v>
                </c:pt>
                <c:pt idx="31">
                  <c:v> Omphalosaurus nevadanus-245Ma </c:v>
                </c:pt>
                <c:pt idx="32">
                  <c:v> Grippia longirostris-245Ma </c:v>
                </c:pt>
                <c:pt idx="33">
                  <c:v> Phalarodon fraasi-245Ma </c:v>
                </c:pt>
                <c:pt idx="34">
                  <c:v> Phalarodon atavus-245Ma </c:v>
                </c:pt>
                <c:pt idx="35">
                  <c:v> Callarwayia wolongganagense-230Ma </c:v>
                </c:pt>
                <c:pt idx="36">
                  <c:v> Californosaurus perrini-230Ma </c:v>
                </c:pt>
                <c:pt idx="37">
                  <c:v> Phalarodon fraasi-240Ma </c:v>
                </c:pt>
                <c:pt idx="38">
                  <c:v> Parvinatator wapitiensis-245Ma </c:v>
                </c:pt>
                <c:pt idx="39">
                  <c:v> Cymbospondylus piscosus-240Ma </c:v>
                </c:pt>
                <c:pt idx="40">
                  <c:v> Toretocnemus californicus-230Ma </c:v>
                </c:pt>
                <c:pt idx="41">
                  <c:v> Toretocnemus zitteli-230Ma </c:v>
                </c:pt>
                <c:pt idx="42">
                  <c:v> Shastasaurus tangae-230Ma </c:v>
                </c:pt>
                <c:pt idx="43">
                  <c:v> Xinminosaurus catactes-245Ma </c:v>
                </c:pt>
                <c:pt idx="44">
                  <c:v> Shastasaurus pacificus-230Ma </c:v>
                </c:pt>
                <c:pt idx="45">
                  <c:v> Qianichthyosaurus xingyiensis-235Ma </c:v>
                </c:pt>
                <c:pt idx="46">
                  <c:v> Shonisaurus popularis-230Ma </c:v>
                </c:pt>
                <c:pt idx="47">
                  <c:v> Sclerocormus parviceps-245Ma </c:v>
                </c:pt>
                <c:pt idx="48">
                  <c:v> Barracudasauroides panxianensis-245Ma </c:v>
                </c:pt>
                <c:pt idx="49">
                  <c:v> Chaohusaurus geishanensis-245Ma </c:v>
                </c:pt>
                <c:pt idx="50">
                  <c:v> Chaohusaurus chaoxianensis-245Ma </c:v>
                </c:pt>
                <c:pt idx="51">
                  <c:v> Shastasaurus liangae-235Ma </c:v>
                </c:pt>
                <c:pt idx="52">
                  <c:v> Chaohusaurus zhangjiawanensis-245Ma </c:v>
                </c:pt>
                <c:pt idx="53">
                  <c:v> Qianichthyosaurus zhoui-235Ma </c:v>
                </c:pt>
                <c:pt idx="54">
                  <c:v> Cartorhynchus lenticarpus-245Ma </c:v>
                </c:pt>
                <c:pt idx="55">
                  <c:v> Callarwayia wolongganagense-235Ma </c:v>
                </c:pt>
                <c:pt idx="56">
                  <c:v> Quasianosteosaurus vikinghoegdai-245Ma </c:v>
                </c:pt>
              </c:strCache>
            </c:strRef>
          </c:cat>
          <c:val>
            <c:numRef>
              <c:f>'Baseline Fat Mass Results'!$J$4:$J$60</c:f>
              <c:numCache>
                <c:formatCode>#,##0.0_);[Red]\(#,##0.0\)</c:formatCode>
                <c:ptCount val="57"/>
                <c:pt idx="0">
                  <c:v>98.5</c:v>
                </c:pt>
                <c:pt idx="1">
                  <c:v>99</c:v>
                </c:pt>
                <c:pt idx="2">
                  <c:v>95</c:v>
                </c:pt>
                <c:pt idx="3">
                  <c:v>95.5</c:v>
                </c:pt>
                <c:pt idx="4">
                  <c:v>75</c:v>
                </c:pt>
                <c:pt idx="5">
                  <c:v>87.5</c:v>
                </c:pt>
                <c:pt idx="6">
                  <c:v>87.5</c:v>
                </c:pt>
                <c:pt idx="7">
                  <c:v>93.5</c:v>
                </c:pt>
                <c:pt idx="8">
                  <c:v>87</c:v>
                </c:pt>
                <c:pt idx="9">
                  <c:v>95.5</c:v>
                </c:pt>
                <c:pt idx="10">
                  <c:v>62.5</c:v>
                </c:pt>
                <c:pt idx="11">
                  <c:v>98.5</c:v>
                </c:pt>
                <c:pt idx="12">
                  <c:v>95.5</c:v>
                </c:pt>
                <c:pt idx="13">
                  <c:v>94.5</c:v>
                </c:pt>
                <c:pt idx="14">
                  <c:v>94</c:v>
                </c:pt>
                <c:pt idx="15">
                  <c:v>78.5</c:v>
                </c:pt>
                <c:pt idx="16">
                  <c:v>92</c:v>
                </c:pt>
                <c:pt idx="17">
                  <c:v>85</c:v>
                </c:pt>
                <c:pt idx="18">
                  <c:v>90.5</c:v>
                </c:pt>
                <c:pt idx="19">
                  <c:v>98</c:v>
                </c:pt>
                <c:pt idx="20">
                  <c:v>94.5</c:v>
                </c:pt>
                <c:pt idx="21">
                  <c:v>96</c:v>
                </c:pt>
                <c:pt idx="22">
                  <c:v>86.5</c:v>
                </c:pt>
                <c:pt idx="23">
                  <c:v>97.5</c:v>
                </c:pt>
                <c:pt idx="24">
                  <c:v>89.5</c:v>
                </c:pt>
                <c:pt idx="25">
                  <c:v>85</c:v>
                </c:pt>
                <c:pt idx="26">
                  <c:v>84</c:v>
                </c:pt>
                <c:pt idx="27">
                  <c:v>68.5</c:v>
                </c:pt>
                <c:pt idx="28">
                  <c:v>96.5</c:v>
                </c:pt>
                <c:pt idx="29">
                  <c:v>99</c:v>
                </c:pt>
                <c:pt idx="30">
                  <c:v>83.5</c:v>
                </c:pt>
                <c:pt idx="31">
                  <c:v>97</c:v>
                </c:pt>
                <c:pt idx="32">
                  <c:v>86.5</c:v>
                </c:pt>
                <c:pt idx="33">
                  <c:v>82.5</c:v>
                </c:pt>
                <c:pt idx="34">
                  <c:v>83</c:v>
                </c:pt>
                <c:pt idx="35">
                  <c:v>82</c:v>
                </c:pt>
                <c:pt idx="36">
                  <c:v>91</c:v>
                </c:pt>
                <c:pt idx="37">
                  <c:v>75.5</c:v>
                </c:pt>
                <c:pt idx="38">
                  <c:v>92.5</c:v>
                </c:pt>
                <c:pt idx="39">
                  <c:v>99</c:v>
                </c:pt>
                <c:pt idx="40">
                  <c:v>87</c:v>
                </c:pt>
                <c:pt idx="41">
                  <c:v>86</c:v>
                </c:pt>
                <c:pt idx="42">
                  <c:v>96.5</c:v>
                </c:pt>
                <c:pt idx="43">
                  <c:v>84.5</c:v>
                </c:pt>
                <c:pt idx="44">
                  <c:v>96</c:v>
                </c:pt>
                <c:pt idx="45">
                  <c:v>54</c:v>
                </c:pt>
                <c:pt idx="46">
                  <c:v>97</c:v>
                </c:pt>
                <c:pt idx="47">
                  <c:v>70</c:v>
                </c:pt>
                <c:pt idx="48">
                  <c:v>59.5</c:v>
                </c:pt>
                <c:pt idx="49">
                  <c:v>83</c:v>
                </c:pt>
                <c:pt idx="50">
                  <c:v>81.5</c:v>
                </c:pt>
                <c:pt idx="51">
                  <c:v>83.5</c:v>
                </c:pt>
                <c:pt idx="52">
                  <c:v>80.5</c:v>
                </c:pt>
                <c:pt idx="53">
                  <c:v>60</c:v>
                </c:pt>
                <c:pt idx="54">
                  <c:v>60.5</c:v>
                </c:pt>
                <c:pt idx="55">
                  <c:v>57</c:v>
                </c:pt>
                <c:pt idx="56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A-46DE-916D-CD79180A1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705391"/>
        <c:axId val="2127706831"/>
      </c:radarChart>
      <c:catAx>
        <c:axId val="212770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706831"/>
        <c:crosses val="autoZero"/>
        <c:auto val="1"/>
        <c:lblAlgn val="ctr"/>
        <c:lblOffset val="100"/>
        <c:noMultiLvlLbl val="0"/>
      </c:catAx>
      <c:valAx>
        <c:axId val="212770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7705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'Baseline Fat Mass Results'!$B$63:$B$96</c:f>
              <c:strCache>
                <c:ptCount val="34"/>
                <c:pt idx="0">
                  <c:v>Cyamodus hildegardis-245Ma</c:v>
                </c:pt>
                <c:pt idx="1">
                  <c:v>Helveticosaurus zollingeri-240Ma</c:v>
                </c:pt>
                <c:pt idx="2">
                  <c:v>Paraplacodus broilli-245Ma</c:v>
                </c:pt>
                <c:pt idx="3">
                  <c:v>Helveticosaurus zollingeri-245Ma</c:v>
                </c:pt>
                <c:pt idx="4">
                  <c:v>Cyamodus muensteri-240Ma</c:v>
                </c:pt>
                <c:pt idx="5">
                  <c:v>Cyamodus kuhnschnyderi-240Ma</c:v>
                </c:pt>
                <c:pt idx="6">
                  <c:v>Cyamodus rostratus-240Ma</c:v>
                </c:pt>
                <c:pt idx="7">
                  <c:v>Henodus chelyops-240Ma</c:v>
                </c:pt>
                <c:pt idx="8">
                  <c:v>Placochelys placodonta-240Ma</c:v>
                </c:pt>
                <c:pt idx="9">
                  <c:v>Placodus gigas-240Ma</c:v>
                </c:pt>
                <c:pt idx="10">
                  <c:v>Psephosauriscus mosis-245Ma</c:v>
                </c:pt>
                <c:pt idx="11">
                  <c:v>Eusaurosphargis dalsassoi-245Ma</c:v>
                </c:pt>
                <c:pt idx="12">
                  <c:v>Psephosauriscus ramonensis-245Ma</c:v>
                </c:pt>
                <c:pt idx="13">
                  <c:v>Psephosauriscus sinaiticus-245Ma</c:v>
                </c:pt>
                <c:pt idx="14">
                  <c:v>Psephosauriscus rhombifer-240Ma</c:v>
                </c:pt>
                <c:pt idx="15">
                  <c:v>Henodus chelyops-235Ma</c:v>
                </c:pt>
                <c:pt idx="16">
                  <c:v>Atopodentatus unicus-245Ma</c:v>
                </c:pt>
                <c:pt idx="17">
                  <c:v>Pararcus diepenbroek-240Ma</c:v>
                </c:pt>
                <c:pt idx="18">
                  <c:v>Psephoderma alpinum-20Ma5Ma</c:v>
                </c:pt>
                <c:pt idx="19">
                  <c:v>Psephoderma alpinum-215Ma</c:v>
                </c:pt>
                <c:pt idx="20">
                  <c:v>Cyamodus rostratus-245Ma</c:v>
                </c:pt>
                <c:pt idx="21">
                  <c:v>Psephoderma alpinum-210Ma</c:v>
                </c:pt>
                <c:pt idx="22">
                  <c:v>Placochelys placodonta-235Ma</c:v>
                </c:pt>
                <c:pt idx="23">
                  <c:v>Placodus inexpectatus-245Ma</c:v>
                </c:pt>
                <c:pt idx="24">
                  <c:v>Glyphoderma kangi-240Ma</c:v>
                </c:pt>
                <c:pt idx="25">
                  <c:v>Cyamodus muensteri-245Ma</c:v>
                </c:pt>
                <c:pt idx="26">
                  <c:v>Pararcus diepenbroek-245Ma</c:v>
                </c:pt>
                <c:pt idx="27">
                  <c:v>Macroplacus raeticus-20Ma5Ma</c:v>
                </c:pt>
                <c:pt idx="28">
                  <c:v>Placodus gigas-245Ma</c:v>
                </c:pt>
                <c:pt idx="29">
                  <c:v>Palatodonta bleekeri--245Ma</c:v>
                </c:pt>
                <c:pt idx="30">
                  <c:v>Glyphoderma kangi-235Ma</c:v>
                </c:pt>
                <c:pt idx="31">
                  <c:v>Cyamodus orientalis-235Ma</c:v>
                </c:pt>
                <c:pt idx="32">
                  <c:v>Sinocyamodus xinpuensis-235Ma</c:v>
                </c:pt>
                <c:pt idx="33">
                  <c:v>Psephochelys polyosteoderma-235Ma</c:v>
                </c:pt>
              </c:strCache>
            </c:strRef>
          </c:cat>
          <c:val>
            <c:numRef>
              <c:f>'Baseline Fat Mass Results'!$J$63:$J$96</c:f>
              <c:numCache>
                <c:formatCode>General</c:formatCode>
                <c:ptCount val="34"/>
                <c:pt idx="0">
                  <c:v>76.5</c:v>
                </c:pt>
                <c:pt idx="1">
                  <c:v>66.5</c:v>
                </c:pt>
                <c:pt idx="2">
                  <c:v>65</c:v>
                </c:pt>
                <c:pt idx="3">
                  <c:v>70</c:v>
                </c:pt>
                <c:pt idx="4">
                  <c:v>54</c:v>
                </c:pt>
                <c:pt idx="5">
                  <c:v>54</c:v>
                </c:pt>
                <c:pt idx="6">
                  <c:v>54.5</c:v>
                </c:pt>
                <c:pt idx="7">
                  <c:v>53.5</c:v>
                </c:pt>
                <c:pt idx="8">
                  <c:v>44.5</c:v>
                </c:pt>
                <c:pt idx="9">
                  <c:v>41.5</c:v>
                </c:pt>
                <c:pt idx="10">
                  <c:v>60.5</c:v>
                </c:pt>
                <c:pt idx="11">
                  <c:v>0</c:v>
                </c:pt>
                <c:pt idx="12">
                  <c:v>58.5</c:v>
                </c:pt>
                <c:pt idx="13">
                  <c:v>56.5</c:v>
                </c:pt>
                <c:pt idx="14">
                  <c:v>20.5</c:v>
                </c:pt>
                <c:pt idx="15">
                  <c:v>27.5</c:v>
                </c:pt>
                <c:pt idx="16">
                  <c:v>56</c:v>
                </c:pt>
                <c:pt idx="17">
                  <c:v>26.5</c:v>
                </c:pt>
                <c:pt idx="18">
                  <c:v>55</c:v>
                </c:pt>
                <c:pt idx="19">
                  <c:v>56</c:v>
                </c:pt>
                <c:pt idx="20">
                  <c:v>23.5</c:v>
                </c:pt>
                <c:pt idx="21">
                  <c:v>51</c:v>
                </c:pt>
                <c:pt idx="22">
                  <c:v>24.5</c:v>
                </c:pt>
                <c:pt idx="23">
                  <c:v>53</c:v>
                </c:pt>
                <c:pt idx="24">
                  <c:v>33</c:v>
                </c:pt>
                <c:pt idx="25">
                  <c:v>17.5</c:v>
                </c:pt>
                <c:pt idx="26">
                  <c:v>16</c:v>
                </c:pt>
                <c:pt idx="27">
                  <c:v>43</c:v>
                </c:pt>
                <c:pt idx="28">
                  <c:v>16</c:v>
                </c:pt>
                <c:pt idx="29">
                  <c:v>13.5</c:v>
                </c:pt>
                <c:pt idx="30">
                  <c:v>20</c:v>
                </c:pt>
                <c:pt idx="31">
                  <c:v>15.5</c:v>
                </c:pt>
                <c:pt idx="32">
                  <c:v>17</c:v>
                </c:pt>
                <c:pt idx="3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0-429D-A9C3-17C5D526E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987119"/>
        <c:axId val="1532984719"/>
      </c:radarChart>
      <c:catAx>
        <c:axId val="153298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2984719"/>
        <c:crosses val="autoZero"/>
        <c:auto val="1"/>
        <c:lblAlgn val="ctr"/>
        <c:lblOffset val="100"/>
        <c:noMultiLvlLbl val="0"/>
      </c:catAx>
      <c:valAx>
        <c:axId val="153298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298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'Baseline Fat Mass Results'!$J$99</c:f>
              <c:strCache>
                <c:ptCount val="1"/>
                <c:pt idx="0">
                  <c:v>Migration Survival Rate(%)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'Baseline Fat Mass Results'!$B$100:$B$156</c:f>
              <c:strCache>
                <c:ptCount val="57"/>
                <c:pt idx="0">
                  <c:v> Utatsusaurus hataii-245Ma </c:v>
                </c:pt>
                <c:pt idx="1">
                  <c:v> Parvinatator wapitiensis-240Ma </c:v>
                </c:pt>
                <c:pt idx="2">
                  <c:v> Phalarodon callawayi-240Ma </c:v>
                </c:pt>
                <c:pt idx="3">
                  <c:v> Mikadocephalus gracilirostris-240Ma </c:v>
                </c:pt>
                <c:pt idx="4">
                  <c:v> Mikadocephalus gracilirostris-245Ma </c:v>
                </c:pt>
                <c:pt idx="5">
                  <c:v> Hudsonelpidia brevirostris-225Ma </c:v>
                </c:pt>
                <c:pt idx="6">
                  <c:v> Mixosaurus cornalianus-240Ma </c:v>
                </c:pt>
                <c:pt idx="7">
                  <c:v> Besanosaurus leptorhynchus-240Ma </c:v>
                </c:pt>
                <c:pt idx="8">
                  <c:v> Macgowania janiceps-220Ma </c:v>
                </c:pt>
                <c:pt idx="9">
                  <c:v> Mixosaurus cornalianus-245Ma </c:v>
                </c:pt>
                <c:pt idx="10">
                  <c:v> Shastasaurus sikanniensis-215Ma </c:v>
                </c:pt>
                <c:pt idx="11">
                  <c:v> Phalarodon callawayi-245Ma </c:v>
                </c:pt>
                <c:pt idx="12">
                  <c:v> Phantomosaurus neubigi-245Ma </c:v>
                </c:pt>
                <c:pt idx="13">
                  <c:v> Omphalosaurus nevadanus-245Ma </c:v>
                </c:pt>
                <c:pt idx="14">
                  <c:v> Cymbospondylus buchseri-240Ma </c:v>
                </c:pt>
                <c:pt idx="15">
                  <c:v> Phalarodon fraasi-245Ma </c:v>
                </c:pt>
                <c:pt idx="16">
                  <c:v> Besanosaurus leptorhynchus-245Ma </c:v>
                </c:pt>
                <c:pt idx="17">
                  <c:v> Callarwayia wolongganagense-230Ma </c:v>
                </c:pt>
                <c:pt idx="18">
                  <c:v> Himalayasaurus tibetensis-220Ma </c:v>
                </c:pt>
                <c:pt idx="19">
                  <c:v> Shastasaurus tangae-235Ma </c:v>
                </c:pt>
                <c:pt idx="20">
                  <c:v> Callawayia neoscapularis-220Ma </c:v>
                </c:pt>
                <c:pt idx="21">
                  <c:v> Cymbospondylus nichollsi-240Ma </c:v>
                </c:pt>
                <c:pt idx="22">
                  <c:v> Cymbospondylus duelferi-240Ma </c:v>
                </c:pt>
                <c:pt idx="23">
                  <c:v> Hudsonelpidia brevirostris-220Ma </c:v>
                </c:pt>
                <c:pt idx="24">
                  <c:v> Cymbospondylus duelferi-245Ma </c:v>
                </c:pt>
                <c:pt idx="25">
                  <c:v> Parvinatator wapitiensis-245Ma </c:v>
                </c:pt>
                <c:pt idx="26">
                  <c:v> Cymbospondylus piscosus-245Ma </c:v>
                </c:pt>
                <c:pt idx="27">
                  <c:v> Phalarodon atavus-245Ma </c:v>
                </c:pt>
                <c:pt idx="28">
                  <c:v> Himalayasaurus tibetensis-215Ma </c:v>
                </c:pt>
                <c:pt idx="29">
                  <c:v> Omphalosaurus wolfi-240Ma </c:v>
                </c:pt>
                <c:pt idx="30">
                  <c:v> Thalattoarchon saurophagis-245Ma </c:v>
                </c:pt>
                <c:pt idx="31">
                  <c:v> Grippia longirostris-245Ma </c:v>
                </c:pt>
                <c:pt idx="32">
                  <c:v> Phalarodon fraasi-240Ma </c:v>
                </c:pt>
                <c:pt idx="33">
                  <c:v> Cymbospondylus nichollsi-245Ma </c:v>
                </c:pt>
                <c:pt idx="34">
                  <c:v> Gulosaurus helmi-245Ma </c:v>
                </c:pt>
                <c:pt idx="35">
                  <c:v> Californosaurus perrini-230Ma </c:v>
                </c:pt>
                <c:pt idx="36">
                  <c:v> Thaisaurus chonglakmanii-245Ma </c:v>
                </c:pt>
                <c:pt idx="37">
                  <c:v> Cymbospondylus piscosus-240Ma </c:v>
                </c:pt>
                <c:pt idx="38">
                  <c:v> Toretocnemus californicus-230Ma </c:v>
                </c:pt>
                <c:pt idx="39">
                  <c:v> Cymbospondylus buchseri-245Ma </c:v>
                </c:pt>
                <c:pt idx="40">
                  <c:v> Toretocnemus zitteli-230Ma </c:v>
                </c:pt>
                <c:pt idx="41">
                  <c:v> Shastasaurus tangae-230Ma </c:v>
                </c:pt>
                <c:pt idx="42">
                  <c:v> Shastasaurus pacificus-235Ma </c:v>
                </c:pt>
                <c:pt idx="43">
                  <c:v> Qianichthyosaurus xingyiensis-235Ma </c:v>
                </c:pt>
                <c:pt idx="44">
                  <c:v> Xinminosaurus catactes-245Ma </c:v>
                </c:pt>
                <c:pt idx="45">
                  <c:v> Sclerocormus parviceps-245Ma </c:v>
                </c:pt>
                <c:pt idx="46">
                  <c:v> Chaohusaurus chaoxianensis-245Ma </c:v>
                </c:pt>
                <c:pt idx="47">
                  <c:v> Barracudasauroides panxianensis-245Ma </c:v>
                </c:pt>
                <c:pt idx="48">
                  <c:v> Shastasaurus liangae-235Ma </c:v>
                </c:pt>
                <c:pt idx="49">
                  <c:v> Chaohusaurus zhangjiawanensis-245Ma </c:v>
                </c:pt>
                <c:pt idx="50">
                  <c:v> Shastasaurus pacificus-230Ma </c:v>
                </c:pt>
                <c:pt idx="51">
                  <c:v> Chaohusaurus geishanensis-245Ma </c:v>
                </c:pt>
                <c:pt idx="52">
                  <c:v> Cartorhynchus lenticarpus-245Ma </c:v>
                </c:pt>
                <c:pt idx="53">
                  <c:v> Shonisaurus popularis-230Ma </c:v>
                </c:pt>
                <c:pt idx="54">
                  <c:v> Qianichthyosaurus zhoui-235Ma </c:v>
                </c:pt>
                <c:pt idx="55">
                  <c:v> Quasianosteosaurus vikinghoegdai-245Ma </c:v>
                </c:pt>
                <c:pt idx="56">
                  <c:v> Callarwayia wolongganagense-235Ma </c:v>
                </c:pt>
              </c:strCache>
            </c:strRef>
          </c:cat>
          <c:val>
            <c:numRef>
              <c:f>'Baseline Fat Mass Results'!$J$100:$J$156</c:f>
              <c:numCache>
                <c:formatCode>General</c:formatCode>
                <c:ptCount val="57"/>
                <c:pt idx="0">
                  <c:v>98.5</c:v>
                </c:pt>
                <c:pt idx="1">
                  <c:v>95</c:v>
                </c:pt>
                <c:pt idx="2">
                  <c:v>87.5</c:v>
                </c:pt>
                <c:pt idx="3">
                  <c:v>78.5</c:v>
                </c:pt>
                <c:pt idx="4">
                  <c:v>87</c:v>
                </c:pt>
                <c:pt idx="5">
                  <c:v>62.5</c:v>
                </c:pt>
                <c:pt idx="6">
                  <c:v>75</c:v>
                </c:pt>
                <c:pt idx="7">
                  <c:v>95.5</c:v>
                </c:pt>
                <c:pt idx="8">
                  <c:v>87.5</c:v>
                </c:pt>
                <c:pt idx="9">
                  <c:v>90.5</c:v>
                </c:pt>
                <c:pt idx="10">
                  <c:v>99</c:v>
                </c:pt>
                <c:pt idx="11">
                  <c:v>92</c:v>
                </c:pt>
                <c:pt idx="12">
                  <c:v>85</c:v>
                </c:pt>
                <c:pt idx="13">
                  <c:v>97</c:v>
                </c:pt>
                <c:pt idx="14">
                  <c:v>86.5</c:v>
                </c:pt>
                <c:pt idx="15">
                  <c:v>82.5</c:v>
                </c:pt>
                <c:pt idx="16">
                  <c:v>95.5</c:v>
                </c:pt>
                <c:pt idx="17">
                  <c:v>82</c:v>
                </c:pt>
                <c:pt idx="18">
                  <c:v>99</c:v>
                </c:pt>
                <c:pt idx="19">
                  <c:v>83.5</c:v>
                </c:pt>
                <c:pt idx="20">
                  <c:v>89.5</c:v>
                </c:pt>
                <c:pt idx="21">
                  <c:v>95.5</c:v>
                </c:pt>
                <c:pt idx="22">
                  <c:v>93.5</c:v>
                </c:pt>
                <c:pt idx="23">
                  <c:v>85</c:v>
                </c:pt>
                <c:pt idx="24">
                  <c:v>94</c:v>
                </c:pt>
                <c:pt idx="25">
                  <c:v>92.5</c:v>
                </c:pt>
                <c:pt idx="26">
                  <c:v>96.5</c:v>
                </c:pt>
                <c:pt idx="27">
                  <c:v>83</c:v>
                </c:pt>
                <c:pt idx="28">
                  <c:v>97.5</c:v>
                </c:pt>
                <c:pt idx="29">
                  <c:v>96</c:v>
                </c:pt>
                <c:pt idx="30">
                  <c:v>98.5</c:v>
                </c:pt>
                <c:pt idx="31">
                  <c:v>86.5</c:v>
                </c:pt>
                <c:pt idx="32">
                  <c:v>75.5</c:v>
                </c:pt>
                <c:pt idx="33">
                  <c:v>98</c:v>
                </c:pt>
                <c:pt idx="34">
                  <c:v>94.5</c:v>
                </c:pt>
                <c:pt idx="35">
                  <c:v>91</c:v>
                </c:pt>
                <c:pt idx="36">
                  <c:v>84</c:v>
                </c:pt>
                <c:pt idx="37">
                  <c:v>99</c:v>
                </c:pt>
                <c:pt idx="38">
                  <c:v>87</c:v>
                </c:pt>
                <c:pt idx="39">
                  <c:v>94.5</c:v>
                </c:pt>
                <c:pt idx="40">
                  <c:v>86</c:v>
                </c:pt>
                <c:pt idx="41">
                  <c:v>96.5</c:v>
                </c:pt>
                <c:pt idx="42">
                  <c:v>68.5</c:v>
                </c:pt>
                <c:pt idx="43">
                  <c:v>54</c:v>
                </c:pt>
                <c:pt idx="44">
                  <c:v>84.5</c:v>
                </c:pt>
                <c:pt idx="45">
                  <c:v>70</c:v>
                </c:pt>
                <c:pt idx="46">
                  <c:v>81.5</c:v>
                </c:pt>
                <c:pt idx="47">
                  <c:v>59.5</c:v>
                </c:pt>
                <c:pt idx="48">
                  <c:v>83.5</c:v>
                </c:pt>
                <c:pt idx="49">
                  <c:v>80.5</c:v>
                </c:pt>
                <c:pt idx="50">
                  <c:v>96</c:v>
                </c:pt>
                <c:pt idx="51">
                  <c:v>83</c:v>
                </c:pt>
                <c:pt idx="52">
                  <c:v>60.5</c:v>
                </c:pt>
                <c:pt idx="53">
                  <c:v>97</c:v>
                </c:pt>
                <c:pt idx="54">
                  <c:v>60</c:v>
                </c:pt>
                <c:pt idx="55">
                  <c:v>84</c:v>
                </c:pt>
                <c:pt idx="56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F-4417-84E3-8E140AC9E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975439"/>
        <c:axId val="2072980719"/>
      </c:radarChart>
      <c:catAx>
        <c:axId val="207297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2980719"/>
        <c:crosses val="autoZero"/>
        <c:auto val="1"/>
        <c:lblAlgn val="ctr"/>
        <c:lblOffset val="100"/>
        <c:noMultiLvlLbl val="0"/>
      </c:catAx>
      <c:valAx>
        <c:axId val="207298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297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'Baseline Fat Mass Results'!$B$158:$B$191</c:f>
              <c:strCache>
                <c:ptCount val="34"/>
                <c:pt idx="0">
                  <c:v>Cyamodus hildegardis-245Ma</c:v>
                </c:pt>
                <c:pt idx="1">
                  <c:v>Helveticosaurus zollingeri-240Ma</c:v>
                </c:pt>
                <c:pt idx="2">
                  <c:v>Cyamodus kuhnschnyderi-240Ma</c:v>
                </c:pt>
                <c:pt idx="3">
                  <c:v>Paraplacodus broilli-245Ma</c:v>
                </c:pt>
                <c:pt idx="4">
                  <c:v>Cyamodus rostratus-240Ma</c:v>
                </c:pt>
                <c:pt idx="5">
                  <c:v>Cyamodus muensteri-240Ma</c:v>
                </c:pt>
                <c:pt idx="6">
                  <c:v>Helveticosaurus zollingeri-245Ma</c:v>
                </c:pt>
                <c:pt idx="7">
                  <c:v>Eusaurosphargis dalsassoi-245Ma</c:v>
                </c:pt>
                <c:pt idx="8">
                  <c:v>Henodus chelyops-240Ma</c:v>
                </c:pt>
                <c:pt idx="9">
                  <c:v>Placochelys placodonta-240Ma</c:v>
                </c:pt>
                <c:pt idx="10">
                  <c:v>Psephosauriscus rhombifer-240Ma</c:v>
                </c:pt>
                <c:pt idx="11">
                  <c:v>Psephosauriscus ramonensis-245Ma</c:v>
                </c:pt>
                <c:pt idx="12">
                  <c:v>Placodus gigas-240Ma</c:v>
                </c:pt>
                <c:pt idx="13">
                  <c:v>Psephosauriscus mosis-245Ma</c:v>
                </c:pt>
                <c:pt idx="14">
                  <c:v>Psephosauriscus sinaiticus-245Ma</c:v>
                </c:pt>
                <c:pt idx="15">
                  <c:v>Atopodentatus unicus-245Ma</c:v>
                </c:pt>
                <c:pt idx="16">
                  <c:v>Pararcus diepenbroek-240Ma</c:v>
                </c:pt>
                <c:pt idx="17">
                  <c:v>Psephoderma alpinum-20Ma5Ma</c:v>
                </c:pt>
                <c:pt idx="18">
                  <c:v>Psephoderma alpinum-210Ma</c:v>
                </c:pt>
                <c:pt idx="19">
                  <c:v>Henodus chelyops-235Ma</c:v>
                </c:pt>
                <c:pt idx="20">
                  <c:v>Psephoderma alpinum-215Ma</c:v>
                </c:pt>
                <c:pt idx="21">
                  <c:v>Macroplacus raeticus-20Ma5Ma</c:v>
                </c:pt>
                <c:pt idx="22">
                  <c:v>Glyphoderma kangi-240Ma</c:v>
                </c:pt>
                <c:pt idx="23">
                  <c:v>Placodus inexpectatus-245Ma</c:v>
                </c:pt>
                <c:pt idx="24">
                  <c:v>Placochelys placodonta-235Ma</c:v>
                </c:pt>
                <c:pt idx="25">
                  <c:v>Cyamodus rostratus-245Ma</c:v>
                </c:pt>
                <c:pt idx="26">
                  <c:v>Placodus gigas-245Ma</c:v>
                </c:pt>
                <c:pt idx="27">
                  <c:v>Cyamodus muensteri-245Ma</c:v>
                </c:pt>
                <c:pt idx="28">
                  <c:v>Pararcus diepenbroek-245Ma</c:v>
                </c:pt>
                <c:pt idx="29">
                  <c:v>Sinocyamodus xinpuensis-235Ma</c:v>
                </c:pt>
                <c:pt idx="30">
                  <c:v>Palatodonta bleekeri--245Ma</c:v>
                </c:pt>
                <c:pt idx="31">
                  <c:v>Glyphoderma kangi-235Ma</c:v>
                </c:pt>
                <c:pt idx="32">
                  <c:v>Psephochelys polyosteoderma-235Ma</c:v>
                </c:pt>
                <c:pt idx="33">
                  <c:v>Cyamodus orientalis-235Ma</c:v>
                </c:pt>
              </c:strCache>
            </c:strRef>
          </c:cat>
          <c:val>
            <c:numRef>
              <c:f>'Baseline Fat Mass Results'!$J$158:$J$191</c:f>
              <c:numCache>
                <c:formatCode>General</c:formatCode>
                <c:ptCount val="34"/>
                <c:pt idx="0">
                  <c:v>93</c:v>
                </c:pt>
                <c:pt idx="1">
                  <c:v>89</c:v>
                </c:pt>
                <c:pt idx="2">
                  <c:v>83.5</c:v>
                </c:pt>
                <c:pt idx="3">
                  <c:v>91</c:v>
                </c:pt>
                <c:pt idx="4">
                  <c:v>82.5</c:v>
                </c:pt>
                <c:pt idx="5">
                  <c:v>84</c:v>
                </c:pt>
                <c:pt idx="6">
                  <c:v>96</c:v>
                </c:pt>
                <c:pt idx="7">
                  <c:v>0</c:v>
                </c:pt>
                <c:pt idx="8">
                  <c:v>84</c:v>
                </c:pt>
                <c:pt idx="9">
                  <c:v>69</c:v>
                </c:pt>
                <c:pt idx="10">
                  <c:v>34.5</c:v>
                </c:pt>
                <c:pt idx="11">
                  <c:v>75.5</c:v>
                </c:pt>
                <c:pt idx="12">
                  <c:v>78</c:v>
                </c:pt>
                <c:pt idx="13">
                  <c:v>71</c:v>
                </c:pt>
                <c:pt idx="14">
                  <c:v>75.5</c:v>
                </c:pt>
                <c:pt idx="15">
                  <c:v>95</c:v>
                </c:pt>
                <c:pt idx="16">
                  <c:v>71.5</c:v>
                </c:pt>
                <c:pt idx="17">
                  <c:v>92</c:v>
                </c:pt>
                <c:pt idx="18">
                  <c:v>93.5</c:v>
                </c:pt>
                <c:pt idx="19">
                  <c:v>69</c:v>
                </c:pt>
                <c:pt idx="20">
                  <c:v>94.5</c:v>
                </c:pt>
                <c:pt idx="21">
                  <c:v>77.5</c:v>
                </c:pt>
                <c:pt idx="22">
                  <c:v>86.5</c:v>
                </c:pt>
                <c:pt idx="23">
                  <c:v>81.5</c:v>
                </c:pt>
                <c:pt idx="24">
                  <c:v>60.5</c:v>
                </c:pt>
                <c:pt idx="25">
                  <c:v>65</c:v>
                </c:pt>
                <c:pt idx="26">
                  <c:v>70</c:v>
                </c:pt>
                <c:pt idx="27">
                  <c:v>71.5</c:v>
                </c:pt>
                <c:pt idx="28">
                  <c:v>63.5</c:v>
                </c:pt>
                <c:pt idx="29">
                  <c:v>54</c:v>
                </c:pt>
                <c:pt idx="30">
                  <c:v>70.5</c:v>
                </c:pt>
                <c:pt idx="31">
                  <c:v>51</c:v>
                </c:pt>
                <c:pt idx="32">
                  <c:v>44</c:v>
                </c:pt>
                <c:pt idx="33">
                  <c:v>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A-49AB-BD9B-BE95AD22C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765679"/>
        <c:axId val="2072754159"/>
      </c:radarChart>
      <c:catAx>
        <c:axId val="207276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2754159"/>
        <c:crosses val="autoZero"/>
        <c:auto val="1"/>
        <c:lblAlgn val="ctr"/>
        <c:lblOffset val="100"/>
        <c:noMultiLvlLbl val="0"/>
      </c:catAx>
      <c:valAx>
        <c:axId val="207275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276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29801347766372E-2"/>
          <c:y val="3.5974554752152554E-2"/>
          <c:w val="0.94849180505169728"/>
          <c:h val="0.65816488794652772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'Baseline Fat Mass Results'!$B$158:$B$191</c:f>
              <c:strCache>
                <c:ptCount val="34"/>
                <c:pt idx="0">
                  <c:v>Cyamodus hildegardis-245Ma</c:v>
                </c:pt>
                <c:pt idx="1">
                  <c:v>Helveticosaurus zollingeri-240Ma</c:v>
                </c:pt>
                <c:pt idx="2">
                  <c:v>Cyamodus kuhnschnyderi-240Ma</c:v>
                </c:pt>
                <c:pt idx="3">
                  <c:v>Paraplacodus broilli-245Ma</c:v>
                </c:pt>
                <c:pt idx="4">
                  <c:v>Cyamodus rostratus-240Ma</c:v>
                </c:pt>
                <c:pt idx="5">
                  <c:v>Cyamodus muensteri-240Ma</c:v>
                </c:pt>
                <c:pt idx="6">
                  <c:v>Helveticosaurus zollingeri-245Ma</c:v>
                </c:pt>
                <c:pt idx="7">
                  <c:v>Eusaurosphargis dalsassoi-245Ma</c:v>
                </c:pt>
                <c:pt idx="8">
                  <c:v>Henodus chelyops-240Ma</c:v>
                </c:pt>
                <c:pt idx="9">
                  <c:v>Placochelys placodonta-240Ma</c:v>
                </c:pt>
                <c:pt idx="10">
                  <c:v>Psephosauriscus rhombifer-240Ma</c:v>
                </c:pt>
                <c:pt idx="11">
                  <c:v>Psephosauriscus ramonensis-245Ma</c:v>
                </c:pt>
                <c:pt idx="12">
                  <c:v>Placodus gigas-240Ma</c:v>
                </c:pt>
                <c:pt idx="13">
                  <c:v>Psephosauriscus mosis-245Ma</c:v>
                </c:pt>
                <c:pt idx="14">
                  <c:v>Psephosauriscus sinaiticus-245Ma</c:v>
                </c:pt>
                <c:pt idx="15">
                  <c:v>Atopodentatus unicus-245Ma</c:v>
                </c:pt>
                <c:pt idx="16">
                  <c:v>Pararcus diepenbroek-240Ma</c:v>
                </c:pt>
                <c:pt idx="17">
                  <c:v>Psephoderma alpinum-20Ma5Ma</c:v>
                </c:pt>
                <c:pt idx="18">
                  <c:v>Psephoderma alpinum-210Ma</c:v>
                </c:pt>
                <c:pt idx="19">
                  <c:v>Henodus chelyops-235Ma</c:v>
                </c:pt>
                <c:pt idx="20">
                  <c:v>Psephoderma alpinum-215Ma</c:v>
                </c:pt>
                <c:pt idx="21">
                  <c:v>Macroplacus raeticus-20Ma5Ma</c:v>
                </c:pt>
                <c:pt idx="22">
                  <c:v>Glyphoderma kangi-240Ma</c:v>
                </c:pt>
                <c:pt idx="23">
                  <c:v>Placodus inexpectatus-245Ma</c:v>
                </c:pt>
                <c:pt idx="24">
                  <c:v>Placochelys placodonta-235Ma</c:v>
                </c:pt>
                <c:pt idx="25">
                  <c:v>Cyamodus rostratus-245Ma</c:v>
                </c:pt>
                <c:pt idx="26">
                  <c:v>Placodus gigas-245Ma</c:v>
                </c:pt>
                <c:pt idx="27">
                  <c:v>Cyamodus muensteri-245Ma</c:v>
                </c:pt>
                <c:pt idx="28">
                  <c:v>Pararcus diepenbroek-245Ma</c:v>
                </c:pt>
                <c:pt idx="29">
                  <c:v>Sinocyamodus xinpuensis-235Ma</c:v>
                </c:pt>
                <c:pt idx="30">
                  <c:v>Palatodonta bleekeri--245Ma</c:v>
                </c:pt>
                <c:pt idx="31">
                  <c:v>Glyphoderma kangi-235Ma</c:v>
                </c:pt>
                <c:pt idx="32">
                  <c:v>Psephochelys polyosteoderma-235Ma</c:v>
                </c:pt>
                <c:pt idx="33">
                  <c:v>Cyamodus orientalis-235Ma</c:v>
                </c:pt>
              </c:strCache>
            </c:strRef>
          </c:cat>
          <c:val>
            <c:numRef>
              <c:f>'Baseline Fat Mass Results'!$G$158:$G$191</c:f>
              <c:numCache>
                <c:formatCode>General</c:formatCode>
                <c:ptCount val="34"/>
                <c:pt idx="0">
                  <c:v>3065.6510671999999</c:v>
                </c:pt>
                <c:pt idx="1">
                  <c:v>2805.7191490999999</c:v>
                </c:pt>
                <c:pt idx="2">
                  <c:v>2736.0421083000001</c:v>
                </c:pt>
                <c:pt idx="3">
                  <c:v>2693.834425</c:v>
                </c:pt>
                <c:pt idx="4">
                  <c:v>2545.5956895999998</c:v>
                </c:pt>
                <c:pt idx="5">
                  <c:v>2335.3347865999999</c:v>
                </c:pt>
                <c:pt idx="6">
                  <c:v>2087.0442956000002</c:v>
                </c:pt>
                <c:pt idx="7">
                  <c:v>1973.9183438</c:v>
                </c:pt>
                <c:pt idx="8">
                  <c:v>1846.2592734</c:v>
                </c:pt>
                <c:pt idx="9">
                  <c:v>1591.1307389000001</c:v>
                </c:pt>
                <c:pt idx="10">
                  <c:v>1251.9834999</c:v>
                </c:pt>
                <c:pt idx="11">
                  <c:v>1216.1499343999999</c:v>
                </c:pt>
                <c:pt idx="12">
                  <c:v>1061.9474998999999</c:v>
                </c:pt>
                <c:pt idx="13">
                  <c:v>988.80269950000002</c:v>
                </c:pt>
                <c:pt idx="14">
                  <c:v>980.65280010000004</c:v>
                </c:pt>
                <c:pt idx="15">
                  <c:v>808.57051639999997</c:v>
                </c:pt>
                <c:pt idx="16">
                  <c:v>788.41579369999999</c:v>
                </c:pt>
                <c:pt idx="17">
                  <c:v>734.28525490000004</c:v>
                </c:pt>
                <c:pt idx="18">
                  <c:v>734.19897990000004</c:v>
                </c:pt>
                <c:pt idx="19">
                  <c:v>731.82038060000002</c:v>
                </c:pt>
                <c:pt idx="20">
                  <c:v>727.74847599999998</c:v>
                </c:pt>
                <c:pt idx="21">
                  <c:v>694.67273250000005</c:v>
                </c:pt>
                <c:pt idx="22">
                  <c:v>683.38029010000002</c:v>
                </c:pt>
                <c:pt idx="23">
                  <c:v>658.41079379999996</c:v>
                </c:pt>
                <c:pt idx="24">
                  <c:v>614.3548869</c:v>
                </c:pt>
                <c:pt idx="25">
                  <c:v>606.90993049999997</c:v>
                </c:pt>
                <c:pt idx="26">
                  <c:v>605.83751029999996</c:v>
                </c:pt>
                <c:pt idx="27">
                  <c:v>586.69336220000002</c:v>
                </c:pt>
                <c:pt idx="28">
                  <c:v>488.4189389</c:v>
                </c:pt>
                <c:pt idx="29">
                  <c:v>470.4545991</c:v>
                </c:pt>
                <c:pt idx="30">
                  <c:v>459.28416609999999</c:v>
                </c:pt>
                <c:pt idx="31">
                  <c:v>442.72404669999997</c:v>
                </c:pt>
                <c:pt idx="32">
                  <c:v>423.07515069999999</c:v>
                </c:pt>
                <c:pt idx="33">
                  <c:v>409.73248039999999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1F-4DF9-950F-5672C25C1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83313856"/>
        <c:axId val="1283327776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'Baseline Fat Mass Results'!$B$158:$B$191</c:f>
              <c:strCache>
                <c:ptCount val="34"/>
                <c:pt idx="0">
                  <c:v>Cyamodus hildegardis-245Ma</c:v>
                </c:pt>
                <c:pt idx="1">
                  <c:v>Helveticosaurus zollingeri-240Ma</c:v>
                </c:pt>
                <c:pt idx="2">
                  <c:v>Cyamodus kuhnschnyderi-240Ma</c:v>
                </c:pt>
                <c:pt idx="3">
                  <c:v>Paraplacodus broilli-245Ma</c:v>
                </c:pt>
                <c:pt idx="4">
                  <c:v>Cyamodus rostratus-240Ma</c:v>
                </c:pt>
                <c:pt idx="5">
                  <c:v>Cyamodus muensteri-240Ma</c:v>
                </c:pt>
                <c:pt idx="6">
                  <c:v>Helveticosaurus zollingeri-245Ma</c:v>
                </c:pt>
                <c:pt idx="7">
                  <c:v>Eusaurosphargis dalsassoi-245Ma</c:v>
                </c:pt>
                <c:pt idx="8">
                  <c:v>Henodus chelyops-240Ma</c:v>
                </c:pt>
                <c:pt idx="9">
                  <c:v>Placochelys placodonta-240Ma</c:v>
                </c:pt>
                <c:pt idx="10">
                  <c:v>Psephosauriscus rhombifer-240Ma</c:v>
                </c:pt>
                <c:pt idx="11">
                  <c:v>Psephosauriscus ramonensis-245Ma</c:v>
                </c:pt>
                <c:pt idx="12">
                  <c:v>Placodus gigas-240Ma</c:v>
                </c:pt>
                <c:pt idx="13">
                  <c:v>Psephosauriscus mosis-245Ma</c:v>
                </c:pt>
                <c:pt idx="14">
                  <c:v>Psephosauriscus sinaiticus-245Ma</c:v>
                </c:pt>
                <c:pt idx="15">
                  <c:v>Atopodentatus unicus-245Ma</c:v>
                </c:pt>
                <c:pt idx="16">
                  <c:v>Pararcus diepenbroek-240Ma</c:v>
                </c:pt>
                <c:pt idx="17">
                  <c:v>Psephoderma alpinum-20Ma5Ma</c:v>
                </c:pt>
                <c:pt idx="18">
                  <c:v>Psephoderma alpinum-210Ma</c:v>
                </c:pt>
                <c:pt idx="19">
                  <c:v>Henodus chelyops-235Ma</c:v>
                </c:pt>
                <c:pt idx="20">
                  <c:v>Psephoderma alpinum-215Ma</c:v>
                </c:pt>
                <c:pt idx="21">
                  <c:v>Macroplacus raeticus-20Ma5Ma</c:v>
                </c:pt>
                <c:pt idx="22">
                  <c:v>Glyphoderma kangi-240Ma</c:v>
                </c:pt>
                <c:pt idx="23">
                  <c:v>Placodus inexpectatus-245Ma</c:v>
                </c:pt>
                <c:pt idx="24">
                  <c:v>Placochelys placodonta-235Ma</c:v>
                </c:pt>
                <c:pt idx="25">
                  <c:v>Cyamodus rostratus-245Ma</c:v>
                </c:pt>
                <c:pt idx="26">
                  <c:v>Placodus gigas-245Ma</c:v>
                </c:pt>
                <c:pt idx="27">
                  <c:v>Cyamodus muensteri-245Ma</c:v>
                </c:pt>
                <c:pt idx="28">
                  <c:v>Pararcus diepenbroek-245Ma</c:v>
                </c:pt>
                <c:pt idx="29">
                  <c:v>Sinocyamodus xinpuensis-235Ma</c:v>
                </c:pt>
                <c:pt idx="30">
                  <c:v>Palatodonta bleekeri--245Ma</c:v>
                </c:pt>
                <c:pt idx="31">
                  <c:v>Glyphoderma kangi-235Ma</c:v>
                </c:pt>
                <c:pt idx="32">
                  <c:v>Psephochelys polyosteoderma-235Ma</c:v>
                </c:pt>
                <c:pt idx="33">
                  <c:v>Cyamodus orientalis-235Ma</c:v>
                </c:pt>
              </c:strCache>
            </c:strRef>
          </c:cat>
          <c:val>
            <c:numRef>
              <c:f>'Baseline Fat Mass Results'!$C$158:$C$191</c:f>
              <c:numCache>
                <c:formatCode>General</c:formatCode>
                <c:ptCount val="34"/>
                <c:pt idx="0">
                  <c:v>1.5</c:v>
                </c:pt>
                <c:pt idx="1">
                  <c:v>3.6</c:v>
                </c:pt>
                <c:pt idx="2">
                  <c:v>1.5</c:v>
                </c:pt>
                <c:pt idx="3">
                  <c:v>1.5</c:v>
                </c:pt>
                <c:pt idx="4">
                  <c:v>1.3</c:v>
                </c:pt>
                <c:pt idx="5">
                  <c:v>1.3</c:v>
                </c:pt>
                <c:pt idx="6">
                  <c:v>3.6</c:v>
                </c:pt>
                <c:pt idx="7">
                  <c:v>0.2</c:v>
                </c:pt>
                <c:pt idx="8">
                  <c:v>1</c:v>
                </c:pt>
                <c:pt idx="9">
                  <c:v>0.95</c:v>
                </c:pt>
                <c:pt idx="10">
                  <c:v>1.3</c:v>
                </c:pt>
                <c:pt idx="11">
                  <c:v>1.3</c:v>
                </c:pt>
                <c:pt idx="12">
                  <c:v>2</c:v>
                </c:pt>
                <c:pt idx="13">
                  <c:v>1.2</c:v>
                </c:pt>
                <c:pt idx="14">
                  <c:v>1.2</c:v>
                </c:pt>
                <c:pt idx="15">
                  <c:v>3</c:v>
                </c:pt>
                <c:pt idx="16">
                  <c:v>1.5</c:v>
                </c:pt>
                <c:pt idx="17">
                  <c:v>1.25</c:v>
                </c:pt>
                <c:pt idx="18">
                  <c:v>1.25</c:v>
                </c:pt>
                <c:pt idx="19">
                  <c:v>1</c:v>
                </c:pt>
                <c:pt idx="20">
                  <c:v>1.25</c:v>
                </c:pt>
                <c:pt idx="21">
                  <c:v>1</c:v>
                </c:pt>
                <c:pt idx="22">
                  <c:v>0.95</c:v>
                </c:pt>
                <c:pt idx="23">
                  <c:v>2.5</c:v>
                </c:pt>
                <c:pt idx="24">
                  <c:v>0.95</c:v>
                </c:pt>
                <c:pt idx="25">
                  <c:v>1.3</c:v>
                </c:pt>
                <c:pt idx="26">
                  <c:v>2</c:v>
                </c:pt>
                <c:pt idx="27">
                  <c:v>1.3</c:v>
                </c:pt>
                <c:pt idx="28">
                  <c:v>1.5</c:v>
                </c:pt>
                <c:pt idx="29">
                  <c:v>1</c:v>
                </c:pt>
                <c:pt idx="30">
                  <c:v>1.5</c:v>
                </c:pt>
                <c:pt idx="31">
                  <c:v>0.95</c:v>
                </c:pt>
                <c:pt idx="32">
                  <c:v>1</c:v>
                </c:pt>
                <c:pt idx="33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1F-4DF9-950F-5672C25C1750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'Baseline Fat Mass Results'!$B$158:$B$191</c:f>
              <c:strCache>
                <c:ptCount val="34"/>
                <c:pt idx="0">
                  <c:v>Cyamodus hildegardis-245Ma</c:v>
                </c:pt>
                <c:pt idx="1">
                  <c:v>Helveticosaurus zollingeri-240Ma</c:v>
                </c:pt>
                <c:pt idx="2">
                  <c:v>Cyamodus kuhnschnyderi-240Ma</c:v>
                </c:pt>
                <c:pt idx="3">
                  <c:v>Paraplacodus broilli-245Ma</c:v>
                </c:pt>
                <c:pt idx="4">
                  <c:v>Cyamodus rostratus-240Ma</c:v>
                </c:pt>
                <c:pt idx="5">
                  <c:v>Cyamodus muensteri-240Ma</c:v>
                </c:pt>
                <c:pt idx="6">
                  <c:v>Helveticosaurus zollingeri-245Ma</c:v>
                </c:pt>
                <c:pt idx="7">
                  <c:v>Eusaurosphargis dalsassoi-245Ma</c:v>
                </c:pt>
                <c:pt idx="8">
                  <c:v>Henodus chelyops-240Ma</c:v>
                </c:pt>
                <c:pt idx="9">
                  <c:v>Placochelys placodonta-240Ma</c:v>
                </c:pt>
                <c:pt idx="10">
                  <c:v>Psephosauriscus rhombifer-240Ma</c:v>
                </c:pt>
                <c:pt idx="11">
                  <c:v>Psephosauriscus ramonensis-245Ma</c:v>
                </c:pt>
                <c:pt idx="12">
                  <c:v>Placodus gigas-240Ma</c:v>
                </c:pt>
                <c:pt idx="13">
                  <c:v>Psephosauriscus mosis-245Ma</c:v>
                </c:pt>
                <c:pt idx="14">
                  <c:v>Psephosauriscus sinaiticus-245Ma</c:v>
                </c:pt>
                <c:pt idx="15">
                  <c:v>Atopodentatus unicus-245Ma</c:v>
                </c:pt>
                <c:pt idx="16">
                  <c:v>Pararcus diepenbroek-240Ma</c:v>
                </c:pt>
                <c:pt idx="17">
                  <c:v>Psephoderma alpinum-20Ma5Ma</c:v>
                </c:pt>
                <c:pt idx="18">
                  <c:v>Psephoderma alpinum-210Ma</c:v>
                </c:pt>
                <c:pt idx="19">
                  <c:v>Henodus chelyops-235Ma</c:v>
                </c:pt>
                <c:pt idx="20">
                  <c:v>Psephoderma alpinum-215Ma</c:v>
                </c:pt>
                <c:pt idx="21">
                  <c:v>Macroplacus raeticus-20Ma5Ma</c:v>
                </c:pt>
                <c:pt idx="22">
                  <c:v>Glyphoderma kangi-240Ma</c:v>
                </c:pt>
                <c:pt idx="23">
                  <c:v>Placodus inexpectatus-245Ma</c:v>
                </c:pt>
                <c:pt idx="24">
                  <c:v>Placochelys placodonta-235Ma</c:v>
                </c:pt>
                <c:pt idx="25">
                  <c:v>Cyamodus rostratus-245Ma</c:v>
                </c:pt>
                <c:pt idx="26">
                  <c:v>Placodus gigas-245Ma</c:v>
                </c:pt>
                <c:pt idx="27">
                  <c:v>Cyamodus muensteri-245Ma</c:v>
                </c:pt>
                <c:pt idx="28">
                  <c:v>Pararcus diepenbroek-245Ma</c:v>
                </c:pt>
                <c:pt idx="29">
                  <c:v>Sinocyamodus xinpuensis-235Ma</c:v>
                </c:pt>
                <c:pt idx="30">
                  <c:v>Palatodonta bleekeri--245Ma</c:v>
                </c:pt>
                <c:pt idx="31">
                  <c:v>Glyphoderma kangi-235Ma</c:v>
                </c:pt>
                <c:pt idx="32">
                  <c:v>Psephochelys polyosteoderma-235Ma</c:v>
                </c:pt>
                <c:pt idx="33">
                  <c:v>Cyamodus orientalis-235Ma</c:v>
                </c:pt>
              </c:strCache>
            </c:strRef>
          </c:cat>
          <c:val>
            <c:numRef>
              <c:f>'Baseline Fat Mass Results'!$H$158:$H$191</c:f>
              <c:numCache>
                <c:formatCode>0.0_);[Red]\(0.0\)</c:formatCode>
                <c:ptCount val="34"/>
                <c:pt idx="0">
                  <c:v>10.184794772433028</c:v>
                </c:pt>
                <c:pt idx="1">
                  <c:v>6.0502364050123987</c:v>
                </c:pt>
                <c:pt idx="2">
                  <c:v>9.3913348562340513</c:v>
                </c:pt>
                <c:pt idx="3">
                  <c:v>10.944066950643139</c:v>
                </c:pt>
                <c:pt idx="4">
                  <c:v>10.204267533789288</c:v>
                </c:pt>
                <c:pt idx="5">
                  <c:v>10.146391738967022</c:v>
                </c:pt>
                <c:pt idx="6">
                  <c:v>6.3187411449776771</c:v>
                </c:pt>
                <c:pt idx="7">
                  <c:v>13.41563110529717</c:v>
                </c:pt>
                <c:pt idx="8">
                  <c:v>8.8797808404519749</c:v>
                </c:pt>
                <c:pt idx="9">
                  <c:v>11.82655847986349</c:v>
                </c:pt>
                <c:pt idx="10">
                  <c:v>7.8536445951711062</c:v>
                </c:pt>
                <c:pt idx="11">
                  <c:v>11.46408215359283</c:v>
                </c:pt>
                <c:pt idx="12">
                  <c:v>8.8139214275437912</c:v>
                </c:pt>
                <c:pt idx="13">
                  <c:v>10.914981130547867</c:v>
                </c:pt>
                <c:pt idx="14">
                  <c:v>10.552774033701944</c:v>
                </c:pt>
                <c:pt idx="15">
                  <c:v>7.8239652485794338</c:v>
                </c:pt>
                <c:pt idx="16">
                  <c:v>10.053758839757403</c:v>
                </c:pt>
                <c:pt idx="17">
                  <c:v>8.7893856345343266</c:v>
                </c:pt>
                <c:pt idx="18">
                  <c:v>8.7985739520263184</c:v>
                </c:pt>
                <c:pt idx="19">
                  <c:v>8.0310665998500443</c:v>
                </c:pt>
                <c:pt idx="20">
                  <c:v>8.8070211590205787</c:v>
                </c:pt>
                <c:pt idx="21">
                  <c:v>11.6774910153867</c:v>
                </c:pt>
                <c:pt idx="22">
                  <c:v>13.227756698232703</c:v>
                </c:pt>
                <c:pt idx="23">
                  <c:v>7.4810229369666734</c:v>
                </c:pt>
                <c:pt idx="24">
                  <c:v>10.674493321031868</c:v>
                </c:pt>
                <c:pt idx="25">
                  <c:v>9.0231636675672888</c:v>
                </c:pt>
                <c:pt idx="26">
                  <c:v>8.2369755599591414</c:v>
                </c:pt>
                <c:pt idx="27">
                  <c:v>9.3854049186920037</c:v>
                </c:pt>
                <c:pt idx="28">
                  <c:v>9.5709083751444215</c:v>
                </c:pt>
                <c:pt idx="29">
                  <c:v>9.6518266673105177</c:v>
                </c:pt>
                <c:pt idx="30">
                  <c:v>9.8974433117094112</c:v>
                </c:pt>
                <c:pt idx="31">
                  <c:v>10.296367670105276</c:v>
                </c:pt>
                <c:pt idx="32">
                  <c:v>9.2873020236932717</c:v>
                </c:pt>
                <c:pt idx="33">
                  <c:v>8.0632059484749341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1F-4DF9-950F-5672C25C1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195263"/>
        <c:axId val="353205343"/>
      </c:lineChart>
      <c:catAx>
        <c:axId val="128331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3327776"/>
        <c:crosses val="autoZero"/>
        <c:auto val="1"/>
        <c:lblAlgn val="ctr"/>
        <c:lblOffset val="100"/>
        <c:noMultiLvlLbl val="0"/>
      </c:catAx>
      <c:valAx>
        <c:axId val="128332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3313856"/>
        <c:crosses val="autoZero"/>
        <c:crossBetween val="between"/>
      </c:valAx>
      <c:valAx>
        <c:axId val="35320534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3195263"/>
        <c:crosses val="max"/>
        <c:crossBetween val="between"/>
      </c:valAx>
      <c:catAx>
        <c:axId val="3531952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32053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'High Fat Mass Result'!$I$3</c:f>
              <c:strCache>
                <c:ptCount val="1"/>
                <c:pt idx="0">
                  <c:v>Average annual migration distance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'High Fat Mass Result'!$B$4:$B$60</c:f>
              <c:strCache>
                <c:ptCount val="57"/>
                <c:pt idx="0">
                  <c:v>Utatsusaurus hataii-245Ma</c:v>
                </c:pt>
                <c:pt idx="1">
                  <c:v>Shastasaurus pacificus-235Ma</c:v>
                </c:pt>
                <c:pt idx="2">
                  <c:v>Omphalosaurus wolfi-240Ma</c:v>
                </c:pt>
                <c:pt idx="3">
                  <c:v>Cymbospondylus piscosus-240Ma</c:v>
                </c:pt>
                <c:pt idx="4">
                  <c:v>more-Cymbospondylus buchseri-240Ma</c:v>
                </c:pt>
                <c:pt idx="5">
                  <c:v>Phalarodon atavus-245Ma</c:v>
                </c:pt>
                <c:pt idx="6">
                  <c:v>Mikadocephalus gracilirostris-245Ma</c:v>
                </c:pt>
                <c:pt idx="7">
                  <c:v>Cymbospondylus nichollsi-240Ma</c:v>
                </c:pt>
                <c:pt idx="8">
                  <c:v>Mixosaurus cornalianus-245Ma</c:v>
                </c:pt>
                <c:pt idx="9">
                  <c:v>Besanosaurus leptorhynchus-240Ma</c:v>
                </c:pt>
                <c:pt idx="10">
                  <c:v>Mikadocephalus gracilirostris-240Ma</c:v>
                </c:pt>
                <c:pt idx="11">
                  <c:v>Thalattoarchon saurophagis-245Ma</c:v>
                </c:pt>
                <c:pt idx="12">
                  <c:v>Besanosaurus leptorhynchus-245Ma</c:v>
                </c:pt>
                <c:pt idx="13">
                  <c:v>Cymbospondylus duelferi-245Ma</c:v>
                </c:pt>
                <c:pt idx="14">
                  <c:v>Cymbospondylus nichollsi-245Ma</c:v>
                </c:pt>
                <c:pt idx="15">
                  <c:v>Mixosaurus cornalianus-240Ma</c:v>
                </c:pt>
                <c:pt idx="16">
                  <c:v>Phalarodon callawayi-240Ma</c:v>
                </c:pt>
                <c:pt idx="17">
                  <c:v>Macgowania janiceps-220Ma</c:v>
                </c:pt>
                <c:pt idx="18">
                  <c:v>Cymbospondylus buchseri-245Ma</c:v>
                </c:pt>
                <c:pt idx="19">
                  <c:v>Cymbospondylus piscosus-245Ma</c:v>
                </c:pt>
                <c:pt idx="20">
                  <c:v>Himalayasaurus tibetensis-220Ma</c:v>
                </c:pt>
                <c:pt idx="21">
                  <c:v>Omphalosaurus nevadanus-245Ma</c:v>
                </c:pt>
                <c:pt idx="22">
                  <c:v>Cymbospondylus duelferi-240Ma</c:v>
                </c:pt>
                <c:pt idx="23">
                  <c:v>Hudsonelpidia brevirostris-220Ma</c:v>
                </c:pt>
                <c:pt idx="24">
                  <c:v>Callawayia neoscapularis-220Ma</c:v>
                </c:pt>
                <c:pt idx="25">
                  <c:v>Phalarodon fraasi-245Ma</c:v>
                </c:pt>
                <c:pt idx="26">
                  <c:v>Shonisaurus popularis-230Ma</c:v>
                </c:pt>
                <c:pt idx="27">
                  <c:v>Shastasaurus pacificus-230Ma</c:v>
                </c:pt>
                <c:pt idx="28">
                  <c:v>Gulosaurus helmi-245Ma</c:v>
                </c:pt>
                <c:pt idx="29">
                  <c:v>Hudsonelpidia brevirostris-225Ma</c:v>
                </c:pt>
                <c:pt idx="30">
                  <c:v>Shastasaurus tangae-230Ma</c:v>
                </c:pt>
                <c:pt idx="31">
                  <c:v>Thaisaurus chonglakmanii-245Ma</c:v>
                </c:pt>
                <c:pt idx="32">
                  <c:v>Himalayasaurus tibetensis-215Ma</c:v>
                </c:pt>
                <c:pt idx="33">
                  <c:v>Phalarodon fraasi-240Ma</c:v>
                </c:pt>
                <c:pt idx="34">
                  <c:v>Parvinatator wapitiensis-245Ma</c:v>
                </c:pt>
                <c:pt idx="35">
                  <c:v>Callarwayia wolongganagense-230Ma</c:v>
                </c:pt>
                <c:pt idx="36">
                  <c:v>Californosaurus perrini-230Ma</c:v>
                </c:pt>
                <c:pt idx="37">
                  <c:v>Phalarodon callawayi-245Ma</c:v>
                </c:pt>
                <c:pt idx="38">
                  <c:v>Parvinatator wapitiensis-240Ma</c:v>
                </c:pt>
                <c:pt idx="39">
                  <c:v>Grippia longirostris-245Ma</c:v>
                </c:pt>
                <c:pt idx="40">
                  <c:v>Toretocnemus californicus-230Ma</c:v>
                </c:pt>
                <c:pt idx="41">
                  <c:v>Toretocnemus zitteli-230Ma</c:v>
                </c:pt>
                <c:pt idx="42">
                  <c:v>Shastasaurus sikanniensis-215Ma</c:v>
                </c:pt>
                <c:pt idx="43">
                  <c:v>Xinminosaurus catactes-245Ma</c:v>
                </c:pt>
                <c:pt idx="44">
                  <c:v>Shastasaurus liangae-235Ma</c:v>
                </c:pt>
                <c:pt idx="45">
                  <c:v>Phantomosaurus neubigi-245Ma</c:v>
                </c:pt>
                <c:pt idx="46">
                  <c:v>Shastasaurus tangae-235Ma</c:v>
                </c:pt>
                <c:pt idx="47">
                  <c:v>Quasianosteosaurus vikinghoegdai-245Ma</c:v>
                </c:pt>
                <c:pt idx="48">
                  <c:v>Barracudasauroides panxianensis-245Ma</c:v>
                </c:pt>
                <c:pt idx="49">
                  <c:v>Chaohusaurus geishanensis-245Ma</c:v>
                </c:pt>
                <c:pt idx="50">
                  <c:v>Chaohusaurus chaoxianensis-245Ma</c:v>
                </c:pt>
                <c:pt idx="51">
                  <c:v>Sclerocormus parviceps-245Ma</c:v>
                </c:pt>
                <c:pt idx="52">
                  <c:v>Chaohusaurus zhangjiawanensis-245Ma</c:v>
                </c:pt>
                <c:pt idx="53">
                  <c:v>Qianichthyosaurus xingyiensis-235Ma</c:v>
                </c:pt>
                <c:pt idx="54">
                  <c:v>Cartorhynchus lenticarpus-245Ma</c:v>
                </c:pt>
                <c:pt idx="55">
                  <c:v>Callarwayia wolongganagense-235Ma</c:v>
                </c:pt>
                <c:pt idx="56">
                  <c:v>Qianichthyosaurus zhoui-235Ma</c:v>
                </c:pt>
              </c:strCache>
            </c:strRef>
          </c:cat>
          <c:val>
            <c:numRef>
              <c:f>'High Fat Mass Result'!$I$4:$I$60</c:f>
              <c:numCache>
                <c:formatCode>0.0_);[Red]\(0.0\)</c:formatCode>
                <c:ptCount val="57"/>
                <c:pt idx="0">
                  <c:v>580.93659197973739</c:v>
                </c:pt>
                <c:pt idx="1">
                  <c:v>906.48644869374812</c:v>
                </c:pt>
                <c:pt idx="2">
                  <c:v>473.92758253613812</c:v>
                </c:pt>
                <c:pt idx="3">
                  <c:v>1086.398840868035</c:v>
                </c:pt>
                <c:pt idx="4">
                  <c:v>604.06103789019528</c:v>
                </c:pt>
                <c:pt idx="5">
                  <c:v>264.87291592050127</c:v>
                </c:pt>
                <c:pt idx="6">
                  <c:v>317.70438944674777</c:v>
                </c:pt>
                <c:pt idx="7">
                  <c:v>645.89878795613379</c:v>
                </c:pt>
                <c:pt idx="8">
                  <c:v>288.45816211904349</c:v>
                </c:pt>
                <c:pt idx="9">
                  <c:v>732.45795780884578</c:v>
                </c:pt>
                <c:pt idx="10">
                  <c:v>306.93559850894746</c:v>
                </c:pt>
                <c:pt idx="11">
                  <c:v>610.43581714084678</c:v>
                </c:pt>
                <c:pt idx="12">
                  <c:v>684.70173207592347</c:v>
                </c:pt>
                <c:pt idx="13">
                  <c:v>433.23699023071146</c:v>
                </c:pt>
                <c:pt idx="14">
                  <c:v>583.86910092339645</c:v>
                </c:pt>
                <c:pt idx="15">
                  <c:v>314.3126767345895</c:v>
                </c:pt>
                <c:pt idx="16">
                  <c:v>299.34543721815481</c:v>
                </c:pt>
                <c:pt idx="17">
                  <c:v>425.79407144196671</c:v>
                </c:pt>
                <c:pt idx="18">
                  <c:v>479.82922108194168</c:v>
                </c:pt>
                <c:pt idx="19">
                  <c:v>842.01545214829946</c:v>
                </c:pt>
                <c:pt idx="20">
                  <c:v>744.37274455964962</c:v>
                </c:pt>
                <c:pt idx="21">
                  <c:v>342.16070474181316</c:v>
                </c:pt>
                <c:pt idx="22">
                  <c:v>390.40616733621897</c:v>
                </c:pt>
                <c:pt idx="23">
                  <c:v>328.12072436644831</c:v>
                </c:pt>
                <c:pt idx="24">
                  <c:v>309.56025655461366</c:v>
                </c:pt>
                <c:pt idx="25">
                  <c:v>194.09711821215606</c:v>
                </c:pt>
                <c:pt idx="26">
                  <c:v>728.92341612775851</c:v>
                </c:pt>
                <c:pt idx="27">
                  <c:v>468.04895972963391</c:v>
                </c:pt>
                <c:pt idx="28">
                  <c:v>198.34777005429532</c:v>
                </c:pt>
                <c:pt idx="29">
                  <c:v>363.50415725046508</c:v>
                </c:pt>
                <c:pt idx="30">
                  <c:v>547.07684804997461</c:v>
                </c:pt>
                <c:pt idx="31">
                  <c:v>176.11966109452436</c:v>
                </c:pt>
                <c:pt idx="32">
                  <c:v>567.98247501826449</c:v>
                </c:pt>
                <c:pt idx="33">
                  <c:v>172.13473430255868</c:v>
                </c:pt>
                <c:pt idx="34">
                  <c:v>122.98607539256165</c:v>
                </c:pt>
                <c:pt idx="35">
                  <c:v>173.75691087137957</c:v>
                </c:pt>
                <c:pt idx="36">
                  <c:v>251.34768919530879</c:v>
                </c:pt>
                <c:pt idx="37">
                  <c:v>150.74928010256113</c:v>
                </c:pt>
                <c:pt idx="38">
                  <c:v>109.71858394161336</c:v>
                </c:pt>
                <c:pt idx="39">
                  <c:v>164.55051115932156</c:v>
                </c:pt>
                <c:pt idx="40">
                  <c:v>196.40260245721828</c:v>
                </c:pt>
                <c:pt idx="41">
                  <c:v>190.12449006373717</c:v>
                </c:pt>
                <c:pt idx="42">
                  <c:v>428.41531469931908</c:v>
                </c:pt>
                <c:pt idx="43">
                  <c:v>140.28253955317544</c:v>
                </c:pt>
                <c:pt idx="44">
                  <c:v>255.39482326671461</c:v>
                </c:pt>
                <c:pt idx="45">
                  <c:v>213.60572782148111</c:v>
                </c:pt>
                <c:pt idx="46">
                  <c:v>245.03216747550147</c:v>
                </c:pt>
                <c:pt idx="47">
                  <c:v>47.824455118424844</c:v>
                </c:pt>
                <c:pt idx="48">
                  <c:v>73.146443653433607</c:v>
                </c:pt>
                <c:pt idx="49">
                  <c:v>84.50618697224678</c:v>
                </c:pt>
                <c:pt idx="50">
                  <c:v>66.493747599675714</c:v>
                </c:pt>
                <c:pt idx="51">
                  <c:v>68.981091927124027</c:v>
                </c:pt>
                <c:pt idx="52">
                  <c:v>57.076780399914107</c:v>
                </c:pt>
                <c:pt idx="53">
                  <c:v>89.292373472395042</c:v>
                </c:pt>
                <c:pt idx="54">
                  <c:v>36.037381306228085</c:v>
                </c:pt>
                <c:pt idx="55">
                  <c:v>86.143836782647199</c:v>
                </c:pt>
                <c:pt idx="56">
                  <c:v>93.125686157191652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5-4A3F-A8DC-2AA446EF4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213823"/>
        <c:axId val="814208543"/>
      </c:radarChart>
      <c:catAx>
        <c:axId val="81421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4208543"/>
        <c:crosses val="autoZero"/>
        <c:auto val="1"/>
        <c:lblAlgn val="ctr"/>
        <c:lblOffset val="100"/>
        <c:noMultiLvlLbl val="0"/>
      </c:catAx>
      <c:valAx>
        <c:axId val="81420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421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'High Fat Mass Result'!$B$62:$B$95</c:f>
              <c:strCache>
                <c:ptCount val="34"/>
                <c:pt idx="0">
                  <c:v>Cyamodus hildegardis-245Ma</c:v>
                </c:pt>
                <c:pt idx="1">
                  <c:v>Paraplacodus broilli-245Ma</c:v>
                </c:pt>
                <c:pt idx="2">
                  <c:v>Cyamodus kuhnschnyderi-240Ma</c:v>
                </c:pt>
                <c:pt idx="3">
                  <c:v>Helveticosaurus zollingeri-245Ma</c:v>
                </c:pt>
                <c:pt idx="4">
                  <c:v>Helveticosaurus zollingeri-240Ma</c:v>
                </c:pt>
                <c:pt idx="5">
                  <c:v>Cyamodus muensteri-240Ma</c:v>
                </c:pt>
                <c:pt idx="6">
                  <c:v>Cyamodus rostratus-240Ma</c:v>
                </c:pt>
                <c:pt idx="7">
                  <c:v>Henodus chelyops-240Ma</c:v>
                </c:pt>
                <c:pt idx="8">
                  <c:v>Eusaurosphargis dalsassoi-245Ma</c:v>
                </c:pt>
                <c:pt idx="9">
                  <c:v>Psephosauriscus sinaiticus-245Ma</c:v>
                </c:pt>
                <c:pt idx="10">
                  <c:v>Placodus gigas-240Ma</c:v>
                </c:pt>
                <c:pt idx="11">
                  <c:v>Psephosauriscus mosis-245Ma</c:v>
                </c:pt>
                <c:pt idx="12">
                  <c:v>Psephosauriscus ramonensis-245Ma</c:v>
                </c:pt>
                <c:pt idx="13">
                  <c:v>Placochelys placodonta-240Ma</c:v>
                </c:pt>
                <c:pt idx="14">
                  <c:v>Psephosauriscus rhombifer-240Ma</c:v>
                </c:pt>
                <c:pt idx="15">
                  <c:v>Henodus chelyops-235Ma</c:v>
                </c:pt>
                <c:pt idx="16">
                  <c:v>Pararcus diepenbroek-240Ma</c:v>
                </c:pt>
                <c:pt idx="17">
                  <c:v>Atopodentatus unicus-245Ma</c:v>
                </c:pt>
                <c:pt idx="18">
                  <c:v>Psephoderma alpinum-20Ma5Ma</c:v>
                </c:pt>
                <c:pt idx="19">
                  <c:v>Psephoderma alpinum-215Ma</c:v>
                </c:pt>
                <c:pt idx="20">
                  <c:v>Placodus gigas-245Ma</c:v>
                </c:pt>
                <c:pt idx="21">
                  <c:v>Psephoderma alpinum-210Ma</c:v>
                </c:pt>
                <c:pt idx="22">
                  <c:v>Placochelys placodonta-235Ma</c:v>
                </c:pt>
                <c:pt idx="23">
                  <c:v>Placodus inexpectatus-245Ma</c:v>
                </c:pt>
                <c:pt idx="24">
                  <c:v>Palatodonta bleekeri--245Ma</c:v>
                </c:pt>
                <c:pt idx="25">
                  <c:v>Glyphoderma kangi-240Ma</c:v>
                </c:pt>
                <c:pt idx="26">
                  <c:v>Cyamodus rostratus-245Ma</c:v>
                </c:pt>
                <c:pt idx="27">
                  <c:v>Cyamodus muensteri-245Ma</c:v>
                </c:pt>
                <c:pt idx="28">
                  <c:v>Macroplacus raeticus-20Ma5Ma</c:v>
                </c:pt>
                <c:pt idx="29">
                  <c:v>Pararcus diepenbroek-245Ma</c:v>
                </c:pt>
                <c:pt idx="30">
                  <c:v>Cyamodus orientalis-235Ma</c:v>
                </c:pt>
                <c:pt idx="31">
                  <c:v>Sinocyamodus xinpuensis-235Ma</c:v>
                </c:pt>
                <c:pt idx="32">
                  <c:v>Psephochelys polyosteoderma-235Ma</c:v>
                </c:pt>
                <c:pt idx="33">
                  <c:v>Glyphoderma kangi-235Ma</c:v>
                </c:pt>
              </c:strCache>
            </c:strRef>
          </c:cat>
          <c:val>
            <c:numRef>
              <c:f>'High Fat Mass Result'!$I$62:$I$95</c:f>
              <c:numCache>
                <c:formatCode>0.0_);[Red]\(0.0\)</c:formatCode>
                <c:ptCount val="34"/>
                <c:pt idx="0">
                  <c:v>373.8757921576385</c:v>
                </c:pt>
                <c:pt idx="1">
                  <c:v>334.89122324871096</c:v>
                </c:pt>
                <c:pt idx="2">
                  <c:v>369.16807274726904</c:v>
                </c:pt>
                <c:pt idx="3">
                  <c:v>524.35021531599375</c:v>
                </c:pt>
                <c:pt idx="4">
                  <c:v>529.92411472862943</c:v>
                </c:pt>
                <c:pt idx="5">
                  <c:v>332.01546678247036</c:v>
                </c:pt>
                <c:pt idx="6">
                  <c:v>304.87126191643222</c:v>
                </c:pt>
                <c:pt idx="7">
                  <c:v>353.58930303305146</c:v>
                </c:pt>
                <c:pt idx="8">
                  <c:v>193.44480823562418</c:v>
                </c:pt>
                <c:pt idx="9">
                  <c:v>215.53902301155281</c:v>
                </c:pt>
                <c:pt idx="10">
                  <c:v>301.85627025662751</c:v>
                </c:pt>
                <c:pt idx="11">
                  <c:v>184.30543191671069</c:v>
                </c:pt>
                <c:pt idx="12">
                  <c:v>204.59156477315983</c:v>
                </c:pt>
                <c:pt idx="13">
                  <c:v>211.95201683954062</c:v>
                </c:pt>
                <c:pt idx="14">
                  <c:v>221.1971653057106</c:v>
                </c:pt>
                <c:pt idx="15">
                  <c:v>215.18953454234961</c:v>
                </c:pt>
                <c:pt idx="16">
                  <c:v>205.08332881966555</c:v>
                </c:pt>
                <c:pt idx="17">
                  <c:v>166.9185228516337</c:v>
                </c:pt>
                <c:pt idx="18">
                  <c:v>148.85917265371393</c:v>
                </c:pt>
                <c:pt idx="19">
                  <c:v>152.80072419328755</c:v>
                </c:pt>
                <c:pt idx="20">
                  <c:v>191.88798844829836</c:v>
                </c:pt>
                <c:pt idx="21">
                  <c:v>145.29841201602167</c:v>
                </c:pt>
                <c:pt idx="22">
                  <c:v>133.30659497994353</c:v>
                </c:pt>
                <c:pt idx="23">
                  <c:v>148.49905946214534</c:v>
                </c:pt>
                <c:pt idx="24">
                  <c:v>150.11059423054414</c:v>
                </c:pt>
                <c:pt idx="25">
                  <c:v>93.587940959835777</c:v>
                </c:pt>
                <c:pt idx="26">
                  <c:v>148.81928656840691</c:v>
                </c:pt>
                <c:pt idx="27">
                  <c:v>151.69290471858034</c:v>
                </c:pt>
                <c:pt idx="28">
                  <c:v>78.88440643155613</c:v>
                </c:pt>
                <c:pt idx="29">
                  <c:v>120.22780665781828</c:v>
                </c:pt>
                <c:pt idx="30">
                  <c:v>91.501492044404671</c:v>
                </c:pt>
                <c:pt idx="31">
                  <c:v>85.525563007750662</c:v>
                </c:pt>
                <c:pt idx="32">
                  <c:v>77.050308896155883</c:v>
                </c:pt>
                <c:pt idx="33">
                  <c:v>70.06124904920874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7-4621-99BE-87F18EF9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019727"/>
        <c:axId val="587022127"/>
      </c:radarChart>
      <c:catAx>
        <c:axId val="58701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022127"/>
        <c:crosses val="autoZero"/>
        <c:auto val="1"/>
        <c:lblAlgn val="ctr"/>
        <c:lblOffset val="100"/>
        <c:noMultiLvlLbl val="0"/>
      </c:catAx>
      <c:valAx>
        <c:axId val="58702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701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'High Fat Mass Result'!$I$98</c:f>
              <c:strCache>
                <c:ptCount val="1"/>
                <c:pt idx="0">
                  <c:v>Average annual migration distance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'High Fat Mass Result'!$B$99:$B$155</c:f>
              <c:strCache>
                <c:ptCount val="57"/>
                <c:pt idx="0">
                  <c:v>Utatsusaurus hataii-245Ma</c:v>
                </c:pt>
                <c:pt idx="1">
                  <c:v>Omphalosaurus wolfi-240Ma</c:v>
                </c:pt>
                <c:pt idx="2">
                  <c:v>Phalarodon atavus-245Ma</c:v>
                </c:pt>
                <c:pt idx="3">
                  <c:v>Mixosaurus cornalianus-240Ma</c:v>
                </c:pt>
                <c:pt idx="4">
                  <c:v>Mixosaurus cornalianus-245Ma</c:v>
                </c:pt>
                <c:pt idx="5">
                  <c:v>Mikadocephalus gracilirostris-240Ma</c:v>
                </c:pt>
                <c:pt idx="6">
                  <c:v>more-Cymbospondylus buchseri-240Ma</c:v>
                </c:pt>
                <c:pt idx="7">
                  <c:v>Besanosaurus leptorhynchus-240Ma</c:v>
                </c:pt>
                <c:pt idx="8">
                  <c:v>Mikadocephalus gracilirostris-245Ma</c:v>
                </c:pt>
                <c:pt idx="9">
                  <c:v>Cymbospondylus buchseri-245Ma</c:v>
                </c:pt>
                <c:pt idx="10">
                  <c:v>Shastasaurus pacificus-235Ma</c:v>
                </c:pt>
                <c:pt idx="11">
                  <c:v>Phalarodon callawayi-240Ma</c:v>
                </c:pt>
                <c:pt idx="12">
                  <c:v>Phalarodon fraasi-245Ma</c:v>
                </c:pt>
                <c:pt idx="13">
                  <c:v>Thaisaurus chonglakmanii-245Ma</c:v>
                </c:pt>
                <c:pt idx="14">
                  <c:v>Cymbospondylus duelferi-240Ma</c:v>
                </c:pt>
                <c:pt idx="15">
                  <c:v>Phalarodon fraasi-240Ma</c:v>
                </c:pt>
                <c:pt idx="16">
                  <c:v>Besanosaurus leptorhynchus-245Ma</c:v>
                </c:pt>
                <c:pt idx="17">
                  <c:v>Callarwayia wolongganagense-230Ma</c:v>
                </c:pt>
                <c:pt idx="18">
                  <c:v>Hudsonelpidia brevirostris-225Ma</c:v>
                </c:pt>
                <c:pt idx="19">
                  <c:v>Shastasaurus tangae-230Ma</c:v>
                </c:pt>
                <c:pt idx="20">
                  <c:v>Callawayia neoscapularis-220Ma</c:v>
                </c:pt>
                <c:pt idx="21">
                  <c:v>Cymbospondylus piscosus-240Ma</c:v>
                </c:pt>
                <c:pt idx="22">
                  <c:v>Cymbospondylus nichollsi-240Ma</c:v>
                </c:pt>
                <c:pt idx="23">
                  <c:v>Macgowania janiceps-220Ma</c:v>
                </c:pt>
                <c:pt idx="24">
                  <c:v>Cymbospondylus nichollsi-245Ma</c:v>
                </c:pt>
                <c:pt idx="25">
                  <c:v>Parvinatator wapitiensis-240Ma</c:v>
                </c:pt>
                <c:pt idx="26">
                  <c:v>Gulosaurus helmi-245Ma</c:v>
                </c:pt>
                <c:pt idx="27">
                  <c:v>Parvinatator wapitiensis-245Ma</c:v>
                </c:pt>
                <c:pt idx="28">
                  <c:v>Hudsonelpidia brevirostris-220Ma</c:v>
                </c:pt>
                <c:pt idx="29">
                  <c:v>Omphalosaurus nevadanus-245Ma</c:v>
                </c:pt>
                <c:pt idx="30">
                  <c:v>Thalattoarchon saurophagis-245Ma</c:v>
                </c:pt>
                <c:pt idx="31">
                  <c:v>Himalayasaurus tibetensis-215Ma</c:v>
                </c:pt>
                <c:pt idx="32">
                  <c:v>Phalarodon callawayi-245Ma</c:v>
                </c:pt>
                <c:pt idx="33">
                  <c:v>Cymbospondylus piscosus-245Ma</c:v>
                </c:pt>
                <c:pt idx="34">
                  <c:v>Himalayasaurus tibetensis-220Ma</c:v>
                </c:pt>
                <c:pt idx="35">
                  <c:v>Californosaurus perrini-230Ma</c:v>
                </c:pt>
                <c:pt idx="36">
                  <c:v>Shonisaurus popularis-230Ma</c:v>
                </c:pt>
                <c:pt idx="37">
                  <c:v>Grippia longirostris-245Ma</c:v>
                </c:pt>
                <c:pt idx="38">
                  <c:v>Toretocnemus californicus-230Ma</c:v>
                </c:pt>
                <c:pt idx="39">
                  <c:v>Cymbospondylus duelferi-245Ma</c:v>
                </c:pt>
                <c:pt idx="40">
                  <c:v>Toretocnemus zitteli-230Ma</c:v>
                </c:pt>
                <c:pt idx="41">
                  <c:v>Shastasaurus sikanniensis-215Ma</c:v>
                </c:pt>
                <c:pt idx="42">
                  <c:v>Shastasaurus pacificus-230Ma</c:v>
                </c:pt>
                <c:pt idx="43">
                  <c:v>Phantomosaurus neubigi-245Ma</c:v>
                </c:pt>
                <c:pt idx="44">
                  <c:v>Xinminosaurus catactes-245Ma</c:v>
                </c:pt>
                <c:pt idx="45">
                  <c:v>Quasianosteosaurus vikinghoegdai-245Ma</c:v>
                </c:pt>
                <c:pt idx="46">
                  <c:v>Chaohusaurus chaoxianensis-245Ma</c:v>
                </c:pt>
                <c:pt idx="47">
                  <c:v>Barracudasauroides panxianensis-245Ma</c:v>
                </c:pt>
                <c:pt idx="48">
                  <c:v>Sclerocormus parviceps-245Ma</c:v>
                </c:pt>
                <c:pt idx="49">
                  <c:v>Chaohusaurus zhangjiawanensis-245Ma</c:v>
                </c:pt>
                <c:pt idx="50">
                  <c:v>Shastasaurus liangae-235Ma</c:v>
                </c:pt>
                <c:pt idx="51">
                  <c:v>Chaohusaurus geishanensis-245Ma</c:v>
                </c:pt>
                <c:pt idx="52">
                  <c:v>Cartorhynchus lenticarpus-245Ma</c:v>
                </c:pt>
                <c:pt idx="53">
                  <c:v>Shastasaurus tangae-235Ma</c:v>
                </c:pt>
                <c:pt idx="54">
                  <c:v>Qianichthyosaurus xingyiensis-235Ma</c:v>
                </c:pt>
                <c:pt idx="55">
                  <c:v>Qianichthyosaurus zhoui-235Ma</c:v>
                </c:pt>
                <c:pt idx="56">
                  <c:v>Callarwayia wolongganagense-235Ma</c:v>
                </c:pt>
              </c:strCache>
            </c:strRef>
          </c:cat>
          <c:val>
            <c:numRef>
              <c:f>'High Fat Mass Result'!$I$99:$I$155</c:f>
              <c:numCache>
                <c:formatCode>0.0_);[Red]\(0.0\)</c:formatCode>
                <c:ptCount val="57"/>
                <c:pt idx="0">
                  <c:v>609.76656289974323</c:v>
                </c:pt>
                <c:pt idx="1">
                  <c:v>485.11794668225889</c:v>
                </c:pt>
                <c:pt idx="2">
                  <c:v>226.80313233517319</c:v>
                </c:pt>
                <c:pt idx="3">
                  <c:v>259.67037856418062</c:v>
                </c:pt>
                <c:pt idx="4">
                  <c:v>245.8080553945511</c:v>
                </c:pt>
                <c:pt idx="5">
                  <c:v>270.56160338630565</c:v>
                </c:pt>
                <c:pt idx="6">
                  <c:v>470.73604973262849</c:v>
                </c:pt>
                <c:pt idx="7">
                  <c:v>598.10026213342985</c:v>
                </c:pt>
                <c:pt idx="8">
                  <c:v>219.89860028890644</c:v>
                </c:pt>
                <c:pt idx="9">
                  <c:v>300.28348391618289</c:v>
                </c:pt>
                <c:pt idx="10">
                  <c:v>420.85677507394684</c:v>
                </c:pt>
                <c:pt idx="11">
                  <c:v>167.83022233882073</c:v>
                </c:pt>
                <c:pt idx="12">
                  <c:v>140.22083653415834</c:v>
                </c:pt>
                <c:pt idx="13">
                  <c:v>129.65232738413488</c:v>
                </c:pt>
                <c:pt idx="14">
                  <c:v>230.32809253633334</c:v>
                </c:pt>
                <c:pt idx="15">
                  <c:v>120.74231787704272</c:v>
                </c:pt>
                <c:pt idx="16">
                  <c:v>351.63327704529519</c:v>
                </c:pt>
                <c:pt idx="17">
                  <c:v>119.66081266037422</c:v>
                </c:pt>
                <c:pt idx="18">
                  <c:v>153.59592276276513</c:v>
                </c:pt>
                <c:pt idx="19">
                  <c:v>334.31168745380779</c:v>
                </c:pt>
                <c:pt idx="20">
                  <c:v>135.97292671342711</c:v>
                </c:pt>
                <c:pt idx="21">
                  <c:v>415.00408425105468</c:v>
                </c:pt>
                <c:pt idx="22">
                  <c:v>251.01877133597972</c:v>
                </c:pt>
                <c:pt idx="23">
                  <c:v>154.6909469850504</c:v>
                </c:pt>
                <c:pt idx="24">
                  <c:v>213.8753443697137</c:v>
                </c:pt>
                <c:pt idx="25">
                  <c:v>69.011712409268043</c:v>
                </c:pt>
                <c:pt idx="26">
                  <c:v>86.135207922928075</c:v>
                </c:pt>
                <c:pt idx="27">
                  <c:v>61.851885974339922</c:v>
                </c:pt>
                <c:pt idx="28">
                  <c:v>105.12172946819997</c:v>
                </c:pt>
                <c:pt idx="29">
                  <c:v>116.99487087086514</c:v>
                </c:pt>
                <c:pt idx="30">
                  <c:v>195.73785960145395</c:v>
                </c:pt>
                <c:pt idx="31">
                  <c:v>253.67540172975194</c:v>
                </c:pt>
                <c:pt idx="32">
                  <c:v>74.407265047803037</c:v>
                </c:pt>
                <c:pt idx="33">
                  <c:v>264.37067988607703</c:v>
                </c:pt>
                <c:pt idx="34">
                  <c:v>232.85542359331382</c:v>
                </c:pt>
                <c:pt idx="35">
                  <c:v>108.77302083262654</c:v>
                </c:pt>
                <c:pt idx="36">
                  <c:v>252.78742842808376</c:v>
                </c:pt>
                <c:pt idx="37">
                  <c:v>66.699111392975681</c:v>
                </c:pt>
                <c:pt idx="38">
                  <c:v>81.987506355509851</c:v>
                </c:pt>
                <c:pt idx="39">
                  <c:v>107.00221490096237</c:v>
                </c:pt>
                <c:pt idx="40">
                  <c:v>79.976692196214259</c:v>
                </c:pt>
                <c:pt idx="41">
                  <c:v>282.69579960335767</c:v>
                </c:pt>
                <c:pt idx="42">
                  <c:v>146.62028379275733</c:v>
                </c:pt>
                <c:pt idx="43">
                  <c:v>124.63584529426792</c:v>
                </c:pt>
                <c:pt idx="44">
                  <c:v>82.16078789395516</c:v>
                </c:pt>
                <c:pt idx="45">
                  <c:v>31.4978585349516</c:v>
                </c:pt>
                <c:pt idx="46">
                  <c:v>50.684730464343218</c:v>
                </c:pt>
                <c:pt idx="47">
                  <c:v>50.965004067081715</c:v>
                </c:pt>
                <c:pt idx="48">
                  <c:v>50.639897577621916</c:v>
                </c:pt>
                <c:pt idx="49">
                  <c:v>41.779460397650368</c:v>
                </c:pt>
                <c:pt idx="50">
                  <c:v>144.57953796159094</c:v>
                </c:pt>
                <c:pt idx="51">
                  <c:v>56.1476564312958</c:v>
                </c:pt>
                <c:pt idx="52">
                  <c:v>27.213313718510111</c:v>
                </c:pt>
                <c:pt idx="53">
                  <c:v>143.79907994857962</c:v>
                </c:pt>
                <c:pt idx="54">
                  <c:v>54.835207020341777</c:v>
                </c:pt>
                <c:pt idx="55">
                  <c:v>53.482077846922238</c:v>
                </c:pt>
                <c:pt idx="56">
                  <c:v>49.399837477028939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3-4AB5-A823-9BF1A6A3D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348896"/>
        <c:axId val="984348416"/>
      </c:radarChart>
      <c:catAx>
        <c:axId val="98434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4348416"/>
        <c:crosses val="autoZero"/>
        <c:auto val="1"/>
        <c:lblAlgn val="ctr"/>
        <c:lblOffset val="100"/>
        <c:noMultiLvlLbl val="0"/>
      </c:catAx>
      <c:valAx>
        <c:axId val="98434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434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'High Fat Mass Result'!$B$157:$B$190</c:f>
              <c:strCache>
                <c:ptCount val="34"/>
                <c:pt idx="0">
                  <c:v>Cyamodus hildegardis-245Ma</c:v>
                </c:pt>
                <c:pt idx="1">
                  <c:v>Paraplacodus broilli-245Ma</c:v>
                </c:pt>
                <c:pt idx="2">
                  <c:v>Helveticosaurus zollingeri-240Ma</c:v>
                </c:pt>
                <c:pt idx="3">
                  <c:v>Cyamodus kuhnschnyderi-240Ma</c:v>
                </c:pt>
                <c:pt idx="4">
                  <c:v>Cyamodus rostratus-240Ma</c:v>
                </c:pt>
                <c:pt idx="5">
                  <c:v>Eusaurosphargis dalsassoi-245Ma</c:v>
                </c:pt>
                <c:pt idx="6">
                  <c:v>Cyamodus muensteri-240Ma</c:v>
                </c:pt>
                <c:pt idx="7">
                  <c:v>Helveticosaurus zollingeri-245Ma</c:v>
                </c:pt>
                <c:pt idx="8">
                  <c:v>Henodus chelyops-240Ma</c:v>
                </c:pt>
                <c:pt idx="9">
                  <c:v>Placochelys placodonta-240Ma</c:v>
                </c:pt>
                <c:pt idx="10">
                  <c:v>Psephosauriscus rhombifer-240Ma</c:v>
                </c:pt>
                <c:pt idx="11">
                  <c:v>Placodus gigas-240Ma</c:v>
                </c:pt>
                <c:pt idx="12">
                  <c:v>Psephosauriscus mosis-245Ma</c:v>
                </c:pt>
                <c:pt idx="13">
                  <c:v>Psephosauriscus sinaiticus-245Ma</c:v>
                </c:pt>
                <c:pt idx="14">
                  <c:v>Psephosauriscus ramonensis-245Ma</c:v>
                </c:pt>
                <c:pt idx="15">
                  <c:v>Psephoderma alpinum-215Ma</c:v>
                </c:pt>
                <c:pt idx="16">
                  <c:v>Henodus chelyops-235Ma</c:v>
                </c:pt>
                <c:pt idx="17">
                  <c:v>Psephoderma alpinum-210Ma</c:v>
                </c:pt>
                <c:pt idx="18">
                  <c:v>Atopodentatus unicus-245Ma</c:v>
                </c:pt>
                <c:pt idx="19">
                  <c:v>Glyphoderma kangi-240Ma</c:v>
                </c:pt>
                <c:pt idx="20">
                  <c:v>Pararcus diepenbroek-240Ma</c:v>
                </c:pt>
                <c:pt idx="21">
                  <c:v>Placodus inexpectatus-245Ma</c:v>
                </c:pt>
                <c:pt idx="22">
                  <c:v>Psephoderma alpinum-20Ma5Ma</c:v>
                </c:pt>
                <c:pt idx="23">
                  <c:v>Placochelys placodonta-235Ma</c:v>
                </c:pt>
                <c:pt idx="24">
                  <c:v>Macroplacus raeticus-20Ma5Ma</c:v>
                </c:pt>
                <c:pt idx="25">
                  <c:v>Cyamodus muensteri-245Ma</c:v>
                </c:pt>
                <c:pt idx="26">
                  <c:v>Cyamodus rostratus-245Ma</c:v>
                </c:pt>
                <c:pt idx="27">
                  <c:v>Placodus gigas-245Ma</c:v>
                </c:pt>
                <c:pt idx="28">
                  <c:v>Pararcus diepenbroek-245Ma</c:v>
                </c:pt>
                <c:pt idx="29">
                  <c:v>Sinocyamodus xinpuensis-235Ma</c:v>
                </c:pt>
                <c:pt idx="30">
                  <c:v>Psephochelys polyosteoderma-235Ma</c:v>
                </c:pt>
                <c:pt idx="31">
                  <c:v>Palatodonta bleekeri--245Ma</c:v>
                </c:pt>
                <c:pt idx="32">
                  <c:v>Glyphoderma kangi-235Ma</c:v>
                </c:pt>
                <c:pt idx="33">
                  <c:v>Cyamodus orientalis-235Ma</c:v>
                </c:pt>
              </c:strCache>
            </c:strRef>
          </c:cat>
          <c:val>
            <c:numRef>
              <c:f>'High Fat Mass Result'!$I$157:$I$190</c:f>
              <c:numCache>
                <c:formatCode>0.0_);[Red]\(0.0\)</c:formatCode>
                <c:ptCount val="34"/>
                <c:pt idx="0">
                  <c:v>297.58875169406178</c:v>
                </c:pt>
                <c:pt idx="1">
                  <c:v>258.61644806604062</c:v>
                </c:pt>
                <c:pt idx="2">
                  <c:v>459.23626148219643</c:v>
                </c:pt>
                <c:pt idx="3">
                  <c:v>286.53953346503266</c:v>
                </c:pt>
                <c:pt idx="4">
                  <c:v>258.35011948167767</c:v>
                </c:pt>
                <c:pt idx="5">
                  <c:v>164.64129518997501</c:v>
                </c:pt>
                <c:pt idx="6">
                  <c:v>249.57560935509474</c:v>
                </c:pt>
                <c:pt idx="7">
                  <c:v>313.39106257850375</c:v>
                </c:pt>
                <c:pt idx="8">
                  <c:v>215.23700612791887</c:v>
                </c:pt>
                <c:pt idx="9">
                  <c:v>155.02708860601132</c:v>
                </c:pt>
                <c:pt idx="10">
                  <c:v>150.86608632719449</c:v>
                </c:pt>
                <c:pt idx="11">
                  <c:v>140.28419304229675</c:v>
                </c:pt>
                <c:pt idx="12">
                  <c:v>94.263942731827655</c:v>
                </c:pt>
                <c:pt idx="13">
                  <c:v>105.88523518870213</c:v>
                </c:pt>
                <c:pt idx="14">
                  <c:v>97.174652312148922</c:v>
                </c:pt>
                <c:pt idx="15">
                  <c:v>89.670044764643208</c:v>
                </c:pt>
                <c:pt idx="16">
                  <c:v>89.580951248140678</c:v>
                </c:pt>
                <c:pt idx="17">
                  <c:v>87.531999715003082</c:v>
                </c:pt>
                <c:pt idx="18">
                  <c:v>95.664920978485299</c:v>
                </c:pt>
                <c:pt idx="19">
                  <c:v>55.442286324396747</c:v>
                </c:pt>
                <c:pt idx="20">
                  <c:v>73.086728160103206</c:v>
                </c:pt>
                <c:pt idx="21">
                  <c:v>93.900702164297385</c:v>
                </c:pt>
                <c:pt idx="22">
                  <c:v>79.542670792562106</c:v>
                </c:pt>
                <c:pt idx="23">
                  <c:v>59.20594831508663</c:v>
                </c:pt>
                <c:pt idx="24">
                  <c:v>52.777970281682762</c:v>
                </c:pt>
                <c:pt idx="25">
                  <c:v>65.495471033546693</c:v>
                </c:pt>
                <c:pt idx="26">
                  <c:v>64.132440497370837</c:v>
                </c:pt>
                <c:pt idx="27">
                  <c:v>62.578190190329288</c:v>
                </c:pt>
                <c:pt idx="28">
                  <c:v>51.943818184825219</c:v>
                </c:pt>
                <c:pt idx="29">
                  <c:v>47.602439644317265</c:v>
                </c:pt>
                <c:pt idx="30">
                  <c:v>46.410239609354107</c:v>
                </c:pt>
                <c:pt idx="31">
                  <c:v>46.878003761244287</c:v>
                </c:pt>
                <c:pt idx="32">
                  <c:v>39.975594433290389</c:v>
                </c:pt>
                <c:pt idx="33">
                  <c:v>51.461812606740622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7-40B0-8BCF-AE6BFA111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473263"/>
        <c:axId val="1066479023"/>
      </c:radarChart>
      <c:catAx>
        <c:axId val="106647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6479023"/>
        <c:crosses val="autoZero"/>
        <c:auto val="1"/>
        <c:lblAlgn val="ctr"/>
        <c:lblOffset val="100"/>
        <c:noMultiLvlLbl val="0"/>
      </c:catAx>
      <c:valAx>
        <c:axId val="106647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647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'High Fat Mass Result'!$J$3</c:f>
              <c:strCache>
                <c:ptCount val="1"/>
                <c:pt idx="0">
                  <c:v>Migration Survival Rate(%)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'High Fat Mass Result'!$B$4:$B$60</c:f>
              <c:strCache>
                <c:ptCount val="57"/>
                <c:pt idx="0">
                  <c:v>Utatsusaurus hataii-245Ma</c:v>
                </c:pt>
                <c:pt idx="1">
                  <c:v>Shastasaurus pacificus-235Ma</c:v>
                </c:pt>
                <c:pt idx="2">
                  <c:v>Omphalosaurus wolfi-240Ma</c:v>
                </c:pt>
                <c:pt idx="3">
                  <c:v>Cymbospondylus piscosus-240Ma</c:v>
                </c:pt>
                <c:pt idx="4">
                  <c:v>more-Cymbospondylus buchseri-240Ma</c:v>
                </c:pt>
                <c:pt idx="5">
                  <c:v>Phalarodon atavus-245Ma</c:v>
                </c:pt>
                <c:pt idx="6">
                  <c:v>Mikadocephalus gracilirostris-245Ma</c:v>
                </c:pt>
                <c:pt idx="7">
                  <c:v>Cymbospondylus nichollsi-240Ma</c:v>
                </c:pt>
                <c:pt idx="8">
                  <c:v>Mixosaurus cornalianus-245Ma</c:v>
                </c:pt>
                <c:pt idx="9">
                  <c:v>Besanosaurus leptorhynchus-240Ma</c:v>
                </c:pt>
                <c:pt idx="10">
                  <c:v>Mikadocephalus gracilirostris-240Ma</c:v>
                </c:pt>
                <c:pt idx="11">
                  <c:v>Thalattoarchon saurophagis-245Ma</c:v>
                </c:pt>
                <c:pt idx="12">
                  <c:v>Besanosaurus leptorhynchus-245Ma</c:v>
                </c:pt>
                <c:pt idx="13">
                  <c:v>Cymbospondylus duelferi-245Ma</c:v>
                </c:pt>
                <c:pt idx="14">
                  <c:v>Cymbospondylus nichollsi-245Ma</c:v>
                </c:pt>
                <c:pt idx="15">
                  <c:v>Mixosaurus cornalianus-240Ma</c:v>
                </c:pt>
                <c:pt idx="16">
                  <c:v>Phalarodon callawayi-240Ma</c:v>
                </c:pt>
                <c:pt idx="17">
                  <c:v>Macgowania janiceps-220Ma</c:v>
                </c:pt>
                <c:pt idx="18">
                  <c:v>Cymbospondylus buchseri-245Ma</c:v>
                </c:pt>
                <c:pt idx="19">
                  <c:v>Cymbospondylus piscosus-245Ma</c:v>
                </c:pt>
                <c:pt idx="20">
                  <c:v>Himalayasaurus tibetensis-220Ma</c:v>
                </c:pt>
                <c:pt idx="21">
                  <c:v>Omphalosaurus nevadanus-245Ma</c:v>
                </c:pt>
                <c:pt idx="22">
                  <c:v>Cymbospondylus duelferi-240Ma</c:v>
                </c:pt>
                <c:pt idx="23">
                  <c:v>Hudsonelpidia brevirostris-220Ma</c:v>
                </c:pt>
                <c:pt idx="24">
                  <c:v>Callawayia neoscapularis-220Ma</c:v>
                </c:pt>
                <c:pt idx="25">
                  <c:v>Phalarodon fraasi-245Ma</c:v>
                </c:pt>
                <c:pt idx="26">
                  <c:v>Shonisaurus popularis-230Ma</c:v>
                </c:pt>
                <c:pt idx="27">
                  <c:v>Shastasaurus pacificus-230Ma</c:v>
                </c:pt>
                <c:pt idx="28">
                  <c:v>Gulosaurus helmi-245Ma</c:v>
                </c:pt>
                <c:pt idx="29">
                  <c:v>Hudsonelpidia brevirostris-225Ma</c:v>
                </c:pt>
                <c:pt idx="30">
                  <c:v>Shastasaurus tangae-230Ma</c:v>
                </c:pt>
                <c:pt idx="31">
                  <c:v>Thaisaurus chonglakmanii-245Ma</c:v>
                </c:pt>
                <c:pt idx="32">
                  <c:v>Himalayasaurus tibetensis-215Ma</c:v>
                </c:pt>
                <c:pt idx="33">
                  <c:v>Phalarodon fraasi-240Ma</c:v>
                </c:pt>
                <c:pt idx="34">
                  <c:v>Parvinatator wapitiensis-245Ma</c:v>
                </c:pt>
                <c:pt idx="35">
                  <c:v>Callarwayia wolongganagense-230Ma</c:v>
                </c:pt>
                <c:pt idx="36">
                  <c:v>Californosaurus perrini-230Ma</c:v>
                </c:pt>
                <c:pt idx="37">
                  <c:v>Phalarodon callawayi-245Ma</c:v>
                </c:pt>
                <c:pt idx="38">
                  <c:v>Parvinatator wapitiensis-240Ma</c:v>
                </c:pt>
                <c:pt idx="39">
                  <c:v>Grippia longirostris-245Ma</c:v>
                </c:pt>
                <c:pt idx="40">
                  <c:v>Toretocnemus californicus-230Ma</c:v>
                </c:pt>
                <c:pt idx="41">
                  <c:v>Toretocnemus zitteli-230Ma</c:v>
                </c:pt>
                <c:pt idx="42">
                  <c:v>Shastasaurus sikanniensis-215Ma</c:v>
                </c:pt>
                <c:pt idx="43">
                  <c:v>Xinminosaurus catactes-245Ma</c:v>
                </c:pt>
                <c:pt idx="44">
                  <c:v>Shastasaurus liangae-235Ma</c:v>
                </c:pt>
                <c:pt idx="45">
                  <c:v>Phantomosaurus neubigi-245Ma</c:v>
                </c:pt>
                <c:pt idx="46">
                  <c:v>Shastasaurus tangae-235Ma</c:v>
                </c:pt>
                <c:pt idx="47">
                  <c:v>Quasianosteosaurus vikinghoegdai-245Ma</c:v>
                </c:pt>
                <c:pt idx="48">
                  <c:v>Barracudasauroides panxianensis-245Ma</c:v>
                </c:pt>
                <c:pt idx="49">
                  <c:v>Chaohusaurus geishanensis-245Ma</c:v>
                </c:pt>
                <c:pt idx="50">
                  <c:v>Chaohusaurus chaoxianensis-245Ma</c:v>
                </c:pt>
                <c:pt idx="51">
                  <c:v>Sclerocormus parviceps-245Ma</c:v>
                </c:pt>
                <c:pt idx="52">
                  <c:v>Chaohusaurus zhangjiawanensis-245Ma</c:v>
                </c:pt>
                <c:pt idx="53">
                  <c:v>Qianichthyosaurus xingyiensis-235Ma</c:v>
                </c:pt>
                <c:pt idx="54">
                  <c:v>Cartorhynchus lenticarpus-245Ma</c:v>
                </c:pt>
                <c:pt idx="55">
                  <c:v>Callarwayia wolongganagense-235Ma</c:v>
                </c:pt>
                <c:pt idx="56">
                  <c:v>Qianichthyosaurus zhoui-235Ma</c:v>
                </c:pt>
              </c:strCache>
            </c:strRef>
          </c:cat>
          <c:val>
            <c:numRef>
              <c:f>'High Fat Mass Result'!$J$4:$J$60</c:f>
              <c:numCache>
                <c:formatCode>General</c:formatCode>
                <c:ptCount val="57"/>
                <c:pt idx="0">
                  <c:v>92</c:v>
                </c:pt>
                <c:pt idx="1">
                  <c:v>78.5</c:v>
                </c:pt>
                <c:pt idx="2">
                  <c:v>72.5</c:v>
                </c:pt>
                <c:pt idx="3">
                  <c:v>83</c:v>
                </c:pt>
                <c:pt idx="4">
                  <c:v>73</c:v>
                </c:pt>
                <c:pt idx="5">
                  <c:v>71</c:v>
                </c:pt>
                <c:pt idx="6">
                  <c:v>59.5</c:v>
                </c:pt>
                <c:pt idx="7">
                  <c:v>80.5</c:v>
                </c:pt>
                <c:pt idx="8">
                  <c:v>50.5</c:v>
                </c:pt>
                <c:pt idx="9">
                  <c:v>81</c:v>
                </c:pt>
                <c:pt idx="10">
                  <c:v>60</c:v>
                </c:pt>
                <c:pt idx="11">
                  <c:v>87</c:v>
                </c:pt>
                <c:pt idx="12">
                  <c:v>81.5</c:v>
                </c:pt>
                <c:pt idx="13">
                  <c:v>74.5</c:v>
                </c:pt>
                <c:pt idx="14">
                  <c:v>86.5</c:v>
                </c:pt>
                <c:pt idx="15">
                  <c:v>69.5</c:v>
                </c:pt>
                <c:pt idx="16">
                  <c:v>67</c:v>
                </c:pt>
                <c:pt idx="17">
                  <c:v>32.5</c:v>
                </c:pt>
                <c:pt idx="18">
                  <c:v>70</c:v>
                </c:pt>
                <c:pt idx="19">
                  <c:v>95.5</c:v>
                </c:pt>
                <c:pt idx="20">
                  <c:v>90</c:v>
                </c:pt>
                <c:pt idx="21">
                  <c:v>78.5</c:v>
                </c:pt>
                <c:pt idx="22">
                  <c:v>78</c:v>
                </c:pt>
                <c:pt idx="23">
                  <c:v>95</c:v>
                </c:pt>
                <c:pt idx="24">
                  <c:v>46.5</c:v>
                </c:pt>
                <c:pt idx="25">
                  <c:v>72</c:v>
                </c:pt>
                <c:pt idx="26">
                  <c:v>88</c:v>
                </c:pt>
                <c:pt idx="27">
                  <c:v>84</c:v>
                </c:pt>
                <c:pt idx="28">
                  <c:v>46.5</c:v>
                </c:pt>
                <c:pt idx="29">
                  <c:v>46.5</c:v>
                </c:pt>
                <c:pt idx="30">
                  <c:v>84</c:v>
                </c:pt>
                <c:pt idx="31">
                  <c:v>66</c:v>
                </c:pt>
                <c:pt idx="32">
                  <c:v>74.5</c:v>
                </c:pt>
                <c:pt idx="33">
                  <c:v>55.5</c:v>
                </c:pt>
                <c:pt idx="34">
                  <c:v>77</c:v>
                </c:pt>
                <c:pt idx="35">
                  <c:v>46</c:v>
                </c:pt>
                <c:pt idx="36">
                  <c:v>61</c:v>
                </c:pt>
                <c:pt idx="37">
                  <c:v>74.5</c:v>
                </c:pt>
                <c:pt idx="38">
                  <c:v>68.5</c:v>
                </c:pt>
                <c:pt idx="39">
                  <c:v>93.5</c:v>
                </c:pt>
                <c:pt idx="40">
                  <c:v>49</c:v>
                </c:pt>
                <c:pt idx="41">
                  <c:v>46.5</c:v>
                </c:pt>
                <c:pt idx="42">
                  <c:v>90.5</c:v>
                </c:pt>
                <c:pt idx="43">
                  <c:v>50.5</c:v>
                </c:pt>
                <c:pt idx="44">
                  <c:v>67.5</c:v>
                </c:pt>
                <c:pt idx="45">
                  <c:v>41.5</c:v>
                </c:pt>
                <c:pt idx="46">
                  <c:v>73</c:v>
                </c:pt>
                <c:pt idx="47">
                  <c:v>44.5</c:v>
                </c:pt>
                <c:pt idx="48">
                  <c:v>47</c:v>
                </c:pt>
                <c:pt idx="49">
                  <c:v>45</c:v>
                </c:pt>
                <c:pt idx="50">
                  <c:v>50.5</c:v>
                </c:pt>
                <c:pt idx="51">
                  <c:v>41</c:v>
                </c:pt>
                <c:pt idx="52">
                  <c:v>40</c:v>
                </c:pt>
                <c:pt idx="53">
                  <c:v>20</c:v>
                </c:pt>
                <c:pt idx="54">
                  <c:v>0</c:v>
                </c:pt>
                <c:pt idx="55">
                  <c:v>20.5</c:v>
                </c:pt>
                <c:pt idx="5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A-4904-9C87-690C17B81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75280"/>
        <c:axId val="94573360"/>
      </c:radarChart>
      <c:catAx>
        <c:axId val="9457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573360"/>
        <c:crosses val="autoZero"/>
        <c:auto val="1"/>
        <c:lblAlgn val="ctr"/>
        <c:lblOffset val="100"/>
        <c:noMultiLvlLbl val="0"/>
      </c:catAx>
      <c:valAx>
        <c:axId val="9457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57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'High Fat Mass Result'!$B$62:$B$95</c:f>
              <c:strCache>
                <c:ptCount val="34"/>
                <c:pt idx="0">
                  <c:v>Cyamodus hildegardis-245Ma</c:v>
                </c:pt>
                <c:pt idx="1">
                  <c:v>Paraplacodus broilli-245Ma</c:v>
                </c:pt>
                <c:pt idx="2">
                  <c:v>Cyamodus kuhnschnyderi-240Ma</c:v>
                </c:pt>
                <c:pt idx="3">
                  <c:v>Helveticosaurus zollingeri-245Ma</c:v>
                </c:pt>
                <c:pt idx="4">
                  <c:v>Helveticosaurus zollingeri-240Ma</c:v>
                </c:pt>
                <c:pt idx="5">
                  <c:v>Cyamodus muensteri-240Ma</c:v>
                </c:pt>
                <c:pt idx="6">
                  <c:v>Cyamodus rostratus-240Ma</c:v>
                </c:pt>
                <c:pt idx="7">
                  <c:v>Henodus chelyops-240Ma</c:v>
                </c:pt>
                <c:pt idx="8">
                  <c:v>Eusaurosphargis dalsassoi-245Ma</c:v>
                </c:pt>
                <c:pt idx="9">
                  <c:v>Psephosauriscus sinaiticus-245Ma</c:v>
                </c:pt>
                <c:pt idx="10">
                  <c:v>Placodus gigas-240Ma</c:v>
                </c:pt>
                <c:pt idx="11">
                  <c:v>Psephosauriscus mosis-245Ma</c:v>
                </c:pt>
                <c:pt idx="12">
                  <c:v>Psephosauriscus ramonensis-245Ma</c:v>
                </c:pt>
                <c:pt idx="13">
                  <c:v>Placochelys placodonta-240Ma</c:v>
                </c:pt>
                <c:pt idx="14">
                  <c:v>Psephosauriscus rhombifer-240Ma</c:v>
                </c:pt>
                <c:pt idx="15">
                  <c:v>Henodus chelyops-235Ma</c:v>
                </c:pt>
                <c:pt idx="16">
                  <c:v>Pararcus diepenbroek-240Ma</c:v>
                </c:pt>
                <c:pt idx="17">
                  <c:v>Atopodentatus unicus-245Ma</c:v>
                </c:pt>
                <c:pt idx="18">
                  <c:v>Psephoderma alpinum-20Ma5Ma</c:v>
                </c:pt>
                <c:pt idx="19">
                  <c:v>Psephoderma alpinum-215Ma</c:v>
                </c:pt>
                <c:pt idx="20">
                  <c:v>Placodus gigas-245Ma</c:v>
                </c:pt>
                <c:pt idx="21">
                  <c:v>Psephoderma alpinum-210Ma</c:v>
                </c:pt>
                <c:pt idx="22">
                  <c:v>Placochelys placodonta-235Ma</c:v>
                </c:pt>
                <c:pt idx="23">
                  <c:v>Placodus inexpectatus-245Ma</c:v>
                </c:pt>
                <c:pt idx="24">
                  <c:v>Palatodonta bleekeri--245Ma</c:v>
                </c:pt>
                <c:pt idx="25">
                  <c:v>Glyphoderma kangi-240Ma</c:v>
                </c:pt>
                <c:pt idx="26">
                  <c:v>Cyamodus rostratus-245Ma</c:v>
                </c:pt>
                <c:pt idx="27">
                  <c:v>Cyamodus muensteri-245Ma</c:v>
                </c:pt>
                <c:pt idx="28">
                  <c:v>Macroplacus raeticus-20Ma5Ma</c:v>
                </c:pt>
                <c:pt idx="29">
                  <c:v>Pararcus diepenbroek-245Ma</c:v>
                </c:pt>
                <c:pt idx="30">
                  <c:v>Cyamodus orientalis-235Ma</c:v>
                </c:pt>
                <c:pt idx="31">
                  <c:v>Sinocyamodus xinpuensis-235Ma</c:v>
                </c:pt>
                <c:pt idx="32">
                  <c:v>Psephochelys polyosteoderma-235Ma</c:v>
                </c:pt>
                <c:pt idx="33">
                  <c:v>Glyphoderma kangi-235Ma</c:v>
                </c:pt>
              </c:strCache>
            </c:strRef>
          </c:cat>
          <c:val>
            <c:numRef>
              <c:f>'High Fat Mass Result'!$J$62:$J$95</c:f>
              <c:numCache>
                <c:formatCode>General</c:formatCode>
                <c:ptCount val="34"/>
                <c:pt idx="0">
                  <c:v>80</c:v>
                </c:pt>
                <c:pt idx="1">
                  <c:v>73</c:v>
                </c:pt>
                <c:pt idx="2">
                  <c:v>61.5</c:v>
                </c:pt>
                <c:pt idx="3">
                  <c:v>76.5</c:v>
                </c:pt>
                <c:pt idx="4">
                  <c:v>70.5</c:v>
                </c:pt>
                <c:pt idx="5">
                  <c:v>51.5</c:v>
                </c:pt>
                <c:pt idx="6">
                  <c:v>48</c:v>
                </c:pt>
                <c:pt idx="7">
                  <c:v>51.5</c:v>
                </c:pt>
                <c:pt idx="8">
                  <c:v>0</c:v>
                </c:pt>
                <c:pt idx="9">
                  <c:v>58</c:v>
                </c:pt>
                <c:pt idx="10">
                  <c:v>39.5</c:v>
                </c:pt>
                <c:pt idx="11">
                  <c:v>64</c:v>
                </c:pt>
                <c:pt idx="12">
                  <c:v>55.5</c:v>
                </c:pt>
                <c:pt idx="13">
                  <c:v>37</c:v>
                </c:pt>
                <c:pt idx="14">
                  <c:v>30.5</c:v>
                </c:pt>
                <c:pt idx="15">
                  <c:v>31.5</c:v>
                </c:pt>
                <c:pt idx="16">
                  <c:v>26.5</c:v>
                </c:pt>
                <c:pt idx="17">
                  <c:v>59</c:v>
                </c:pt>
                <c:pt idx="18">
                  <c:v>64</c:v>
                </c:pt>
                <c:pt idx="19">
                  <c:v>54.5</c:v>
                </c:pt>
                <c:pt idx="20">
                  <c:v>29.5</c:v>
                </c:pt>
                <c:pt idx="21">
                  <c:v>47</c:v>
                </c:pt>
                <c:pt idx="22">
                  <c:v>25</c:v>
                </c:pt>
                <c:pt idx="23">
                  <c:v>54</c:v>
                </c:pt>
                <c:pt idx="24">
                  <c:v>23</c:v>
                </c:pt>
                <c:pt idx="25">
                  <c:v>27.5</c:v>
                </c:pt>
                <c:pt idx="26">
                  <c:v>25.5</c:v>
                </c:pt>
                <c:pt idx="27">
                  <c:v>24</c:v>
                </c:pt>
                <c:pt idx="28">
                  <c:v>54.5</c:v>
                </c:pt>
                <c:pt idx="29">
                  <c:v>17.5</c:v>
                </c:pt>
                <c:pt idx="30">
                  <c:v>27</c:v>
                </c:pt>
                <c:pt idx="31">
                  <c:v>17</c:v>
                </c:pt>
                <c:pt idx="32">
                  <c:v>17</c:v>
                </c:pt>
                <c:pt idx="33">
                  <c:v>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E-4502-9CF2-0E418DC2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160207"/>
        <c:axId val="2106162127"/>
      </c:radarChart>
      <c:catAx>
        <c:axId val="210616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06162127"/>
        <c:crosses val="autoZero"/>
        <c:auto val="1"/>
        <c:lblAlgn val="ctr"/>
        <c:lblOffset val="100"/>
        <c:noMultiLvlLbl val="0"/>
      </c:catAx>
      <c:valAx>
        <c:axId val="210616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06160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'High Fat Mass Result'!$J$98</c:f>
              <c:strCache>
                <c:ptCount val="1"/>
                <c:pt idx="0">
                  <c:v>Migration Survival Rate(%)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'High Fat Mass Result'!$B$99:$B$155</c:f>
              <c:strCache>
                <c:ptCount val="57"/>
                <c:pt idx="0">
                  <c:v>Utatsusaurus hataii-245Ma</c:v>
                </c:pt>
                <c:pt idx="1">
                  <c:v>Omphalosaurus wolfi-240Ma</c:v>
                </c:pt>
                <c:pt idx="2">
                  <c:v>Phalarodon atavus-245Ma</c:v>
                </c:pt>
                <c:pt idx="3">
                  <c:v>Mixosaurus cornalianus-240Ma</c:v>
                </c:pt>
                <c:pt idx="4">
                  <c:v>Mixosaurus cornalianus-245Ma</c:v>
                </c:pt>
                <c:pt idx="5">
                  <c:v>Mikadocephalus gracilirostris-240Ma</c:v>
                </c:pt>
                <c:pt idx="6">
                  <c:v>more-Cymbospondylus buchseri-240Ma</c:v>
                </c:pt>
                <c:pt idx="7">
                  <c:v>Besanosaurus leptorhynchus-240Ma</c:v>
                </c:pt>
                <c:pt idx="8">
                  <c:v>Mikadocephalus gracilirostris-245Ma</c:v>
                </c:pt>
                <c:pt idx="9">
                  <c:v>Cymbospondylus buchseri-245Ma</c:v>
                </c:pt>
                <c:pt idx="10">
                  <c:v>Shastasaurus pacificus-235Ma</c:v>
                </c:pt>
                <c:pt idx="11">
                  <c:v>Phalarodon callawayi-240Ma</c:v>
                </c:pt>
                <c:pt idx="12">
                  <c:v>Phalarodon fraasi-245Ma</c:v>
                </c:pt>
                <c:pt idx="13">
                  <c:v>Thaisaurus chonglakmanii-245Ma</c:v>
                </c:pt>
                <c:pt idx="14">
                  <c:v>Cymbospondylus duelferi-240Ma</c:v>
                </c:pt>
                <c:pt idx="15">
                  <c:v>Phalarodon fraasi-240Ma</c:v>
                </c:pt>
                <c:pt idx="16">
                  <c:v>Besanosaurus leptorhynchus-245Ma</c:v>
                </c:pt>
                <c:pt idx="17">
                  <c:v>Callarwayia wolongganagense-230Ma</c:v>
                </c:pt>
                <c:pt idx="18">
                  <c:v>Hudsonelpidia brevirostris-225Ma</c:v>
                </c:pt>
                <c:pt idx="19">
                  <c:v>Shastasaurus tangae-230Ma</c:v>
                </c:pt>
                <c:pt idx="20">
                  <c:v>Callawayia neoscapularis-220Ma</c:v>
                </c:pt>
                <c:pt idx="21">
                  <c:v>Cymbospondylus piscosus-240Ma</c:v>
                </c:pt>
                <c:pt idx="22">
                  <c:v>Cymbospondylus nichollsi-240Ma</c:v>
                </c:pt>
                <c:pt idx="23">
                  <c:v>Macgowania janiceps-220Ma</c:v>
                </c:pt>
                <c:pt idx="24">
                  <c:v>Cymbospondylus nichollsi-245Ma</c:v>
                </c:pt>
                <c:pt idx="25">
                  <c:v>Parvinatator wapitiensis-240Ma</c:v>
                </c:pt>
                <c:pt idx="26">
                  <c:v>Gulosaurus helmi-245Ma</c:v>
                </c:pt>
                <c:pt idx="27">
                  <c:v>Parvinatator wapitiensis-245Ma</c:v>
                </c:pt>
                <c:pt idx="28">
                  <c:v>Hudsonelpidia brevirostris-220Ma</c:v>
                </c:pt>
                <c:pt idx="29">
                  <c:v>Omphalosaurus nevadanus-245Ma</c:v>
                </c:pt>
                <c:pt idx="30">
                  <c:v>Thalattoarchon saurophagis-245Ma</c:v>
                </c:pt>
                <c:pt idx="31">
                  <c:v>Himalayasaurus tibetensis-215Ma</c:v>
                </c:pt>
                <c:pt idx="32">
                  <c:v>Phalarodon callawayi-245Ma</c:v>
                </c:pt>
                <c:pt idx="33">
                  <c:v>Cymbospondylus piscosus-245Ma</c:v>
                </c:pt>
                <c:pt idx="34">
                  <c:v>Himalayasaurus tibetensis-220Ma</c:v>
                </c:pt>
                <c:pt idx="35">
                  <c:v>Californosaurus perrini-230Ma</c:v>
                </c:pt>
                <c:pt idx="36">
                  <c:v>Shonisaurus popularis-230Ma</c:v>
                </c:pt>
                <c:pt idx="37">
                  <c:v>Grippia longirostris-245Ma</c:v>
                </c:pt>
                <c:pt idx="38">
                  <c:v>Toretocnemus californicus-230Ma</c:v>
                </c:pt>
                <c:pt idx="39">
                  <c:v>Cymbospondylus duelferi-245Ma</c:v>
                </c:pt>
                <c:pt idx="40">
                  <c:v>Toretocnemus zitteli-230Ma</c:v>
                </c:pt>
                <c:pt idx="41">
                  <c:v>Shastasaurus sikanniensis-215Ma</c:v>
                </c:pt>
                <c:pt idx="42">
                  <c:v>Shastasaurus pacificus-230Ma</c:v>
                </c:pt>
                <c:pt idx="43">
                  <c:v>Phantomosaurus neubigi-245Ma</c:v>
                </c:pt>
                <c:pt idx="44">
                  <c:v>Xinminosaurus catactes-245Ma</c:v>
                </c:pt>
                <c:pt idx="45">
                  <c:v>Quasianosteosaurus vikinghoegdai-245Ma</c:v>
                </c:pt>
                <c:pt idx="46">
                  <c:v>Chaohusaurus chaoxianensis-245Ma</c:v>
                </c:pt>
                <c:pt idx="47">
                  <c:v>Barracudasauroides panxianensis-245Ma</c:v>
                </c:pt>
                <c:pt idx="48">
                  <c:v>Sclerocormus parviceps-245Ma</c:v>
                </c:pt>
                <c:pt idx="49">
                  <c:v>Chaohusaurus zhangjiawanensis-245Ma</c:v>
                </c:pt>
                <c:pt idx="50">
                  <c:v>Shastasaurus liangae-235Ma</c:v>
                </c:pt>
                <c:pt idx="51">
                  <c:v>Chaohusaurus geishanensis-245Ma</c:v>
                </c:pt>
                <c:pt idx="52">
                  <c:v>Cartorhynchus lenticarpus-245Ma</c:v>
                </c:pt>
                <c:pt idx="53">
                  <c:v>Shastasaurus tangae-235Ma</c:v>
                </c:pt>
                <c:pt idx="54">
                  <c:v>Qianichthyosaurus xingyiensis-235Ma</c:v>
                </c:pt>
                <c:pt idx="55">
                  <c:v>Qianichthyosaurus zhoui-235Ma</c:v>
                </c:pt>
                <c:pt idx="56">
                  <c:v>Callarwayia wolongganagense-235Ma</c:v>
                </c:pt>
              </c:strCache>
            </c:strRef>
          </c:cat>
          <c:val>
            <c:numRef>
              <c:f>'High Fat Mass Result'!$J$99:$J$155</c:f>
              <c:numCache>
                <c:formatCode>General</c:formatCode>
                <c:ptCount val="57"/>
                <c:pt idx="0">
                  <c:v>97.5</c:v>
                </c:pt>
                <c:pt idx="1">
                  <c:v>96</c:v>
                </c:pt>
                <c:pt idx="2">
                  <c:v>87.5</c:v>
                </c:pt>
                <c:pt idx="3">
                  <c:v>90.5</c:v>
                </c:pt>
                <c:pt idx="4">
                  <c:v>84.5</c:v>
                </c:pt>
                <c:pt idx="5">
                  <c:v>91.5</c:v>
                </c:pt>
                <c:pt idx="6">
                  <c:v>88.5</c:v>
                </c:pt>
                <c:pt idx="7">
                  <c:v>97</c:v>
                </c:pt>
                <c:pt idx="8">
                  <c:v>83</c:v>
                </c:pt>
                <c:pt idx="9">
                  <c:v>92.5</c:v>
                </c:pt>
                <c:pt idx="10">
                  <c:v>77.5</c:v>
                </c:pt>
                <c:pt idx="11">
                  <c:v>92.5</c:v>
                </c:pt>
                <c:pt idx="12">
                  <c:v>81.5</c:v>
                </c:pt>
                <c:pt idx="13">
                  <c:v>86</c:v>
                </c:pt>
                <c:pt idx="14">
                  <c:v>99</c:v>
                </c:pt>
                <c:pt idx="15">
                  <c:v>88</c:v>
                </c:pt>
                <c:pt idx="16">
                  <c:v>99</c:v>
                </c:pt>
                <c:pt idx="17">
                  <c:v>86.5</c:v>
                </c:pt>
                <c:pt idx="18">
                  <c:v>87</c:v>
                </c:pt>
                <c:pt idx="19">
                  <c:v>96.5</c:v>
                </c:pt>
                <c:pt idx="20">
                  <c:v>87.5</c:v>
                </c:pt>
                <c:pt idx="21">
                  <c:v>99.5</c:v>
                </c:pt>
                <c:pt idx="22">
                  <c:v>94</c:v>
                </c:pt>
                <c:pt idx="23">
                  <c:v>74</c:v>
                </c:pt>
                <c:pt idx="24">
                  <c:v>97.5</c:v>
                </c:pt>
                <c:pt idx="25">
                  <c:v>94.5</c:v>
                </c:pt>
                <c:pt idx="26">
                  <c:v>90.5</c:v>
                </c:pt>
                <c:pt idx="27">
                  <c:v>98.5</c:v>
                </c:pt>
                <c:pt idx="28">
                  <c:v>99</c:v>
                </c:pt>
                <c:pt idx="29">
                  <c:v>96</c:v>
                </c:pt>
                <c:pt idx="30">
                  <c:v>98</c:v>
                </c:pt>
                <c:pt idx="31">
                  <c:v>93.5</c:v>
                </c:pt>
                <c:pt idx="32">
                  <c:v>96</c:v>
                </c:pt>
                <c:pt idx="33">
                  <c:v>99.5</c:v>
                </c:pt>
                <c:pt idx="34">
                  <c:v>100</c:v>
                </c:pt>
                <c:pt idx="35">
                  <c:v>89.5</c:v>
                </c:pt>
                <c:pt idx="36">
                  <c:v>98.5</c:v>
                </c:pt>
                <c:pt idx="37">
                  <c:v>99</c:v>
                </c:pt>
                <c:pt idx="38">
                  <c:v>91.5</c:v>
                </c:pt>
                <c:pt idx="39">
                  <c:v>96.5</c:v>
                </c:pt>
                <c:pt idx="40">
                  <c:v>90</c:v>
                </c:pt>
                <c:pt idx="41">
                  <c:v>98.5</c:v>
                </c:pt>
                <c:pt idx="42">
                  <c:v>96</c:v>
                </c:pt>
                <c:pt idx="43">
                  <c:v>86</c:v>
                </c:pt>
                <c:pt idx="44">
                  <c:v>85</c:v>
                </c:pt>
                <c:pt idx="45">
                  <c:v>86</c:v>
                </c:pt>
                <c:pt idx="46">
                  <c:v>80</c:v>
                </c:pt>
                <c:pt idx="47">
                  <c:v>71</c:v>
                </c:pt>
                <c:pt idx="48">
                  <c:v>79</c:v>
                </c:pt>
                <c:pt idx="49">
                  <c:v>77</c:v>
                </c:pt>
                <c:pt idx="50">
                  <c:v>91</c:v>
                </c:pt>
                <c:pt idx="51">
                  <c:v>83</c:v>
                </c:pt>
                <c:pt idx="52">
                  <c:v>58.5</c:v>
                </c:pt>
                <c:pt idx="53">
                  <c:v>88.5</c:v>
                </c:pt>
                <c:pt idx="54">
                  <c:v>56.5</c:v>
                </c:pt>
                <c:pt idx="55">
                  <c:v>68.5</c:v>
                </c:pt>
                <c:pt idx="56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9-45C8-BCB5-3FD5CC0CF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0896"/>
        <c:axId val="5101376"/>
      </c:radarChart>
      <c:catAx>
        <c:axId val="510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01376"/>
        <c:crosses val="autoZero"/>
        <c:auto val="1"/>
        <c:lblAlgn val="ctr"/>
        <c:lblOffset val="100"/>
        <c:noMultiLvlLbl val="0"/>
      </c:catAx>
      <c:valAx>
        <c:axId val="510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0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'High Fat Mass Result'!$B$157:$B$190</c:f>
              <c:strCache>
                <c:ptCount val="34"/>
                <c:pt idx="0">
                  <c:v>Cyamodus hildegardis-245Ma</c:v>
                </c:pt>
                <c:pt idx="1">
                  <c:v>Paraplacodus broilli-245Ma</c:v>
                </c:pt>
                <c:pt idx="2">
                  <c:v>Helveticosaurus zollingeri-240Ma</c:v>
                </c:pt>
                <c:pt idx="3">
                  <c:v>Cyamodus kuhnschnyderi-240Ma</c:v>
                </c:pt>
                <c:pt idx="4">
                  <c:v>Cyamodus rostratus-240Ma</c:v>
                </c:pt>
                <c:pt idx="5">
                  <c:v>Eusaurosphargis dalsassoi-245Ma</c:v>
                </c:pt>
                <c:pt idx="6">
                  <c:v>Cyamodus muensteri-240Ma</c:v>
                </c:pt>
                <c:pt idx="7">
                  <c:v>Helveticosaurus zollingeri-245Ma</c:v>
                </c:pt>
                <c:pt idx="8">
                  <c:v>Henodus chelyops-240Ma</c:v>
                </c:pt>
                <c:pt idx="9">
                  <c:v>Placochelys placodonta-240Ma</c:v>
                </c:pt>
                <c:pt idx="10">
                  <c:v>Psephosauriscus rhombifer-240Ma</c:v>
                </c:pt>
                <c:pt idx="11">
                  <c:v>Placodus gigas-240Ma</c:v>
                </c:pt>
                <c:pt idx="12">
                  <c:v>Psephosauriscus mosis-245Ma</c:v>
                </c:pt>
                <c:pt idx="13">
                  <c:v>Psephosauriscus sinaiticus-245Ma</c:v>
                </c:pt>
                <c:pt idx="14">
                  <c:v>Psephosauriscus ramonensis-245Ma</c:v>
                </c:pt>
                <c:pt idx="15">
                  <c:v>Psephoderma alpinum-215Ma</c:v>
                </c:pt>
                <c:pt idx="16">
                  <c:v>Henodus chelyops-235Ma</c:v>
                </c:pt>
                <c:pt idx="17">
                  <c:v>Psephoderma alpinum-210Ma</c:v>
                </c:pt>
                <c:pt idx="18">
                  <c:v>Atopodentatus unicus-245Ma</c:v>
                </c:pt>
                <c:pt idx="19">
                  <c:v>Glyphoderma kangi-240Ma</c:v>
                </c:pt>
                <c:pt idx="20">
                  <c:v>Pararcus diepenbroek-240Ma</c:v>
                </c:pt>
                <c:pt idx="21">
                  <c:v>Placodus inexpectatus-245Ma</c:v>
                </c:pt>
                <c:pt idx="22">
                  <c:v>Psephoderma alpinum-20Ma5Ma</c:v>
                </c:pt>
                <c:pt idx="23">
                  <c:v>Placochelys placodonta-235Ma</c:v>
                </c:pt>
                <c:pt idx="24">
                  <c:v>Macroplacus raeticus-20Ma5Ma</c:v>
                </c:pt>
                <c:pt idx="25">
                  <c:v>Cyamodus muensteri-245Ma</c:v>
                </c:pt>
                <c:pt idx="26">
                  <c:v>Cyamodus rostratus-245Ma</c:v>
                </c:pt>
                <c:pt idx="27">
                  <c:v>Placodus gigas-245Ma</c:v>
                </c:pt>
                <c:pt idx="28">
                  <c:v>Pararcus diepenbroek-245Ma</c:v>
                </c:pt>
                <c:pt idx="29">
                  <c:v>Sinocyamodus xinpuensis-235Ma</c:v>
                </c:pt>
                <c:pt idx="30">
                  <c:v>Psephochelys polyosteoderma-235Ma</c:v>
                </c:pt>
                <c:pt idx="31">
                  <c:v>Palatodonta bleekeri--245Ma</c:v>
                </c:pt>
                <c:pt idx="32">
                  <c:v>Glyphoderma kangi-235Ma</c:v>
                </c:pt>
                <c:pt idx="33">
                  <c:v>Cyamodus orientalis-235Ma</c:v>
                </c:pt>
              </c:strCache>
            </c:strRef>
          </c:cat>
          <c:val>
            <c:numRef>
              <c:f>'High Fat Mass Result'!$J$157:$J$190</c:f>
              <c:numCache>
                <c:formatCode>General</c:formatCode>
                <c:ptCount val="34"/>
                <c:pt idx="0">
                  <c:v>93</c:v>
                </c:pt>
                <c:pt idx="1">
                  <c:v>95</c:v>
                </c:pt>
                <c:pt idx="2">
                  <c:v>94.5</c:v>
                </c:pt>
                <c:pt idx="3">
                  <c:v>89</c:v>
                </c:pt>
                <c:pt idx="4">
                  <c:v>88.5</c:v>
                </c:pt>
                <c:pt idx="5">
                  <c:v>0</c:v>
                </c:pt>
                <c:pt idx="6">
                  <c:v>87</c:v>
                </c:pt>
                <c:pt idx="7">
                  <c:v>95.5</c:v>
                </c:pt>
                <c:pt idx="8">
                  <c:v>85.5</c:v>
                </c:pt>
                <c:pt idx="9">
                  <c:v>74</c:v>
                </c:pt>
                <c:pt idx="10">
                  <c:v>48</c:v>
                </c:pt>
                <c:pt idx="11">
                  <c:v>83</c:v>
                </c:pt>
                <c:pt idx="12">
                  <c:v>83</c:v>
                </c:pt>
                <c:pt idx="13">
                  <c:v>77.5</c:v>
                </c:pt>
                <c:pt idx="14">
                  <c:v>75.5</c:v>
                </c:pt>
                <c:pt idx="15">
                  <c:v>93</c:v>
                </c:pt>
                <c:pt idx="16">
                  <c:v>75.5</c:v>
                </c:pt>
                <c:pt idx="17">
                  <c:v>91.5</c:v>
                </c:pt>
                <c:pt idx="18">
                  <c:v>95.5</c:v>
                </c:pt>
                <c:pt idx="19">
                  <c:v>87.5</c:v>
                </c:pt>
                <c:pt idx="20">
                  <c:v>73.5</c:v>
                </c:pt>
                <c:pt idx="21">
                  <c:v>82</c:v>
                </c:pt>
                <c:pt idx="22">
                  <c:v>87.5</c:v>
                </c:pt>
                <c:pt idx="23">
                  <c:v>66.5</c:v>
                </c:pt>
                <c:pt idx="24">
                  <c:v>76</c:v>
                </c:pt>
                <c:pt idx="25">
                  <c:v>67.5</c:v>
                </c:pt>
                <c:pt idx="26">
                  <c:v>64.5</c:v>
                </c:pt>
                <c:pt idx="27">
                  <c:v>83.5</c:v>
                </c:pt>
                <c:pt idx="28">
                  <c:v>65</c:v>
                </c:pt>
                <c:pt idx="29">
                  <c:v>57</c:v>
                </c:pt>
                <c:pt idx="30">
                  <c:v>54.5</c:v>
                </c:pt>
                <c:pt idx="31">
                  <c:v>71</c:v>
                </c:pt>
                <c:pt idx="32">
                  <c:v>58</c:v>
                </c:pt>
                <c:pt idx="3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9-425F-8F99-AADF8EDF0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92000"/>
        <c:axId val="132192480"/>
      </c:radarChart>
      <c:catAx>
        <c:axId val="13219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192480"/>
        <c:crosses val="autoZero"/>
        <c:auto val="1"/>
        <c:lblAlgn val="ctr"/>
        <c:lblOffset val="100"/>
        <c:noMultiLvlLbl val="0"/>
      </c:catAx>
      <c:valAx>
        <c:axId val="13219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19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529431328435837E-2"/>
          <c:y val="3.1263747301277331E-2"/>
          <c:w val="0.93716503630804882"/>
          <c:h val="0.6693543492162641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'High Fat Mass Result'!$G$3</c:f>
              <c:strCache>
                <c:ptCount val="1"/>
                <c:pt idx="0">
                  <c:v>Average migration distance (km/Agent)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'High Fat Mass Result'!$B$4:$B$60</c:f>
              <c:strCache>
                <c:ptCount val="57"/>
                <c:pt idx="0">
                  <c:v>Utatsusaurus hataii-245Ma</c:v>
                </c:pt>
                <c:pt idx="1">
                  <c:v>Shastasaurus pacificus-235Ma</c:v>
                </c:pt>
                <c:pt idx="2">
                  <c:v>Omphalosaurus wolfi-240Ma</c:v>
                </c:pt>
                <c:pt idx="3">
                  <c:v>Cymbospondylus piscosus-240Ma</c:v>
                </c:pt>
                <c:pt idx="4">
                  <c:v>more-Cymbospondylus buchseri-240Ma</c:v>
                </c:pt>
                <c:pt idx="5">
                  <c:v>Phalarodon atavus-245Ma</c:v>
                </c:pt>
                <c:pt idx="6">
                  <c:v>Mikadocephalus gracilirostris-245Ma</c:v>
                </c:pt>
                <c:pt idx="7">
                  <c:v>Cymbospondylus nichollsi-240Ma</c:v>
                </c:pt>
                <c:pt idx="8">
                  <c:v>Mixosaurus cornalianus-245Ma</c:v>
                </c:pt>
                <c:pt idx="9">
                  <c:v>Besanosaurus leptorhynchus-240Ma</c:v>
                </c:pt>
                <c:pt idx="10">
                  <c:v>Mikadocephalus gracilirostris-240Ma</c:v>
                </c:pt>
                <c:pt idx="11">
                  <c:v>Thalattoarchon saurophagis-245Ma</c:v>
                </c:pt>
                <c:pt idx="12">
                  <c:v>Besanosaurus leptorhynchus-245Ma</c:v>
                </c:pt>
                <c:pt idx="13">
                  <c:v>Cymbospondylus duelferi-245Ma</c:v>
                </c:pt>
                <c:pt idx="14">
                  <c:v>Cymbospondylus nichollsi-245Ma</c:v>
                </c:pt>
                <c:pt idx="15">
                  <c:v>Mixosaurus cornalianus-240Ma</c:v>
                </c:pt>
                <c:pt idx="16">
                  <c:v>Phalarodon callawayi-240Ma</c:v>
                </c:pt>
                <c:pt idx="17">
                  <c:v>Macgowania janiceps-220Ma</c:v>
                </c:pt>
                <c:pt idx="18">
                  <c:v>Cymbospondylus buchseri-245Ma</c:v>
                </c:pt>
                <c:pt idx="19">
                  <c:v>Cymbospondylus piscosus-245Ma</c:v>
                </c:pt>
                <c:pt idx="20">
                  <c:v>Himalayasaurus tibetensis-220Ma</c:v>
                </c:pt>
                <c:pt idx="21">
                  <c:v>Omphalosaurus nevadanus-245Ma</c:v>
                </c:pt>
                <c:pt idx="22">
                  <c:v>Cymbospondylus duelferi-240Ma</c:v>
                </c:pt>
                <c:pt idx="23">
                  <c:v>Hudsonelpidia brevirostris-220Ma</c:v>
                </c:pt>
                <c:pt idx="24">
                  <c:v>Callawayia neoscapularis-220Ma</c:v>
                </c:pt>
                <c:pt idx="25">
                  <c:v>Phalarodon fraasi-245Ma</c:v>
                </c:pt>
                <c:pt idx="26">
                  <c:v>Shonisaurus popularis-230Ma</c:v>
                </c:pt>
                <c:pt idx="27">
                  <c:v>Shastasaurus pacificus-230Ma</c:v>
                </c:pt>
                <c:pt idx="28">
                  <c:v>Gulosaurus helmi-245Ma</c:v>
                </c:pt>
                <c:pt idx="29">
                  <c:v>Hudsonelpidia brevirostris-225Ma</c:v>
                </c:pt>
                <c:pt idx="30">
                  <c:v>Shastasaurus tangae-230Ma</c:v>
                </c:pt>
                <c:pt idx="31">
                  <c:v>Thaisaurus chonglakmanii-245Ma</c:v>
                </c:pt>
                <c:pt idx="32">
                  <c:v>Himalayasaurus tibetensis-215Ma</c:v>
                </c:pt>
                <c:pt idx="33">
                  <c:v>Phalarodon fraasi-240Ma</c:v>
                </c:pt>
                <c:pt idx="34">
                  <c:v>Parvinatator wapitiensis-245Ma</c:v>
                </c:pt>
                <c:pt idx="35">
                  <c:v>Callarwayia wolongganagense-230Ma</c:v>
                </c:pt>
                <c:pt idx="36">
                  <c:v>Californosaurus perrini-230Ma</c:v>
                </c:pt>
                <c:pt idx="37">
                  <c:v>Phalarodon callawayi-245Ma</c:v>
                </c:pt>
                <c:pt idx="38">
                  <c:v>Parvinatator wapitiensis-240Ma</c:v>
                </c:pt>
                <c:pt idx="39">
                  <c:v>Grippia longirostris-245Ma</c:v>
                </c:pt>
                <c:pt idx="40">
                  <c:v>Toretocnemus californicus-230Ma</c:v>
                </c:pt>
                <c:pt idx="41">
                  <c:v>Toretocnemus zitteli-230Ma</c:v>
                </c:pt>
                <c:pt idx="42">
                  <c:v>Shastasaurus sikanniensis-215Ma</c:v>
                </c:pt>
                <c:pt idx="43">
                  <c:v>Xinminosaurus catactes-245Ma</c:v>
                </c:pt>
                <c:pt idx="44">
                  <c:v>Shastasaurus liangae-235Ma</c:v>
                </c:pt>
                <c:pt idx="45">
                  <c:v>Phantomosaurus neubigi-245Ma</c:v>
                </c:pt>
                <c:pt idx="46">
                  <c:v>Shastasaurus tangae-235Ma</c:v>
                </c:pt>
                <c:pt idx="47">
                  <c:v>Quasianosteosaurus vikinghoegdai-245Ma</c:v>
                </c:pt>
                <c:pt idx="48">
                  <c:v>Barracudasauroides panxianensis-245Ma</c:v>
                </c:pt>
                <c:pt idx="49">
                  <c:v>Chaohusaurus geishanensis-245Ma</c:v>
                </c:pt>
                <c:pt idx="50">
                  <c:v>Chaohusaurus chaoxianensis-245Ma</c:v>
                </c:pt>
                <c:pt idx="51">
                  <c:v>Sclerocormus parviceps-245Ma</c:v>
                </c:pt>
                <c:pt idx="52">
                  <c:v>Chaohusaurus zhangjiawanensis-245Ma</c:v>
                </c:pt>
                <c:pt idx="53">
                  <c:v>Qianichthyosaurus xingyiensis-235Ma</c:v>
                </c:pt>
                <c:pt idx="54">
                  <c:v>Cartorhynchus lenticarpus-245Ma</c:v>
                </c:pt>
                <c:pt idx="55">
                  <c:v>Callarwayia wolongganagense-235Ma</c:v>
                </c:pt>
                <c:pt idx="56">
                  <c:v>Qianichthyosaurus zhoui-235Ma</c:v>
                </c:pt>
              </c:strCache>
            </c:strRef>
          </c:cat>
          <c:val>
            <c:numRef>
              <c:f>'High Fat Mass Result'!$G$4:$G$60</c:f>
              <c:numCache>
                <c:formatCode>General</c:formatCode>
                <c:ptCount val="57"/>
                <c:pt idx="0">
                  <c:v>6588.8751969999994</c:v>
                </c:pt>
                <c:pt idx="1">
                  <c:v>5625.2869468999997</c:v>
                </c:pt>
                <c:pt idx="2">
                  <c:v>4904.3769736000004</c:v>
                </c:pt>
                <c:pt idx="3">
                  <c:v>4860.2244767000002</c:v>
                </c:pt>
                <c:pt idx="4">
                  <c:v>4610.8035301999998</c:v>
                </c:pt>
                <c:pt idx="5">
                  <c:v>4605.8216562999996</c:v>
                </c:pt>
                <c:pt idx="6">
                  <c:v>4578.1301754999986</c:v>
                </c:pt>
                <c:pt idx="7">
                  <c:v>4488.3513526999996</c:v>
                </c:pt>
                <c:pt idx="8">
                  <c:v>4482.8703272000002</c:v>
                </c:pt>
                <c:pt idx="9">
                  <c:v>4328.1920217000006</c:v>
                </c:pt>
                <c:pt idx="10">
                  <c:v>4079.4792594</c:v>
                </c:pt>
                <c:pt idx="11">
                  <c:v>4058.0532902999998</c:v>
                </c:pt>
                <c:pt idx="12">
                  <c:v>4055.9800544999998</c:v>
                </c:pt>
                <c:pt idx="13">
                  <c:v>4052.6294321</c:v>
                </c:pt>
                <c:pt idx="14">
                  <c:v>4017.7127034</c:v>
                </c:pt>
                <c:pt idx="15">
                  <c:v>3986.8103697000001</c:v>
                </c:pt>
                <c:pt idx="16">
                  <c:v>3968.6952445000002</c:v>
                </c:pt>
                <c:pt idx="17">
                  <c:v>3790.3217534999999</c:v>
                </c:pt>
                <c:pt idx="18">
                  <c:v>3789.5086314999999</c:v>
                </c:pt>
                <c:pt idx="19">
                  <c:v>3729.3818415000001</c:v>
                </c:pt>
                <c:pt idx="20">
                  <c:v>3725.6790583000002</c:v>
                </c:pt>
                <c:pt idx="21">
                  <c:v>3561.2652982</c:v>
                </c:pt>
                <c:pt idx="22">
                  <c:v>3532.8340327000001</c:v>
                </c:pt>
                <c:pt idx="23">
                  <c:v>3295.7157505</c:v>
                </c:pt>
                <c:pt idx="24">
                  <c:v>3236.2093275000002</c:v>
                </c:pt>
                <c:pt idx="25">
                  <c:v>3198.6478588999998</c:v>
                </c:pt>
                <c:pt idx="26">
                  <c:v>3128.8657119</c:v>
                </c:pt>
                <c:pt idx="27">
                  <c:v>3118.5025888999999</c:v>
                </c:pt>
                <c:pt idx="28">
                  <c:v>3042.6151589999999</c:v>
                </c:pt>
                <c:pt idx="29">
                  <c:v>3007.9104570999998</c:v>
                </c:pt>
                <c:pt idx="30">
                  <c:v>2934.3059711999999</c:v>
                </c:pt>
                <c:pt idx="31">
                  <c:v>2758.4214888000001</c:v>
                </c:pt>
                <c:pt idx="32">
                  <c:v>2745.5902043000001</c:v>
                </c:pt>
                <c:pt idx="33">
                  <c:v>2628.9746077</c:v>
                </c:pt>
                <c:pt idx="34">
                  <c:v>2442.3353222000001</c:v>
                </c:pt>
                <c:pt idx="35">
                  <c:v>2168.5822487999999</c:v>
                </c:pt>
                <c:pt idx="36">
                  <c:v>2132.2894528000002</c:v>
                </c:pt>
                <c:pt idx="37">
                  <c:v>2131.9692583999999</c:v>
                </c:pt>
                <c:pt idx="38">
                  <c:v>2082.2138619000002</c:v>
                </c:pt>
                <c:pt idx="39">
                  <c:v>2047.4762509</c:v>
                </c:pt>
                <c:pt idx="40">
                  <c:v>2017.5848622999999</c:v>
                </c:pt>
                <c:pt idx="41">
                  <c:v>1867.6385631000001</c:v>
                </c:pt>
                <c:pt idx="42">
                  <c:v>1550.2360080999999</c:v>
                </c:pt>
                <c:pt idx="43">
                  <c:v>1360.8337822000001</c:v>
                </c:pt>
                <c:pt idx="44">
                  <c:v>1256.6192169999999</c:v>
                </c:pt>
                <c:pt idx="45">
                  <c:v>1193.8425797</c:v>
                </c:pt>
                <c:pt idx="46">
                  <c:v>1184.1167481</c:v>
                </c:pt>
                <c:pt idx="47">
                  <c:v>1041.1928998999999</c:v>
                </c:pt>
                <c:pt idx="48">
                  <c:v>1000.0199856</c:v>
                </c:pt>
                <c:pt idx="49">
                  <c:v>943.52932620000001</c:v>
                </c:pt>
                <c:pt idx="50">
                  <c:v>928.83958640000003</c:v>
                </c:pt>
                <c:pt idx="51">
                  <c:v>888.45889560000001</c:v>
                </c:pt>
                <c:pt idx="52">
                  <c:v>793.62380180000002</c:v>
                </c:pt>
                <c:pt idx="53">
                  <c:v>714.54641020000008</c:v>
                </c:pt>
                <c:pt idx="54">
                  <c:v>697.16407270000002</c:v>
                </c:pt>
                <c:pt idx="55">
                  <c:v>686.85436880000009</c:v>
                </c:pt>
                <c:pt idx="56">
                  <c:v>641.32051159999992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3-4107-B0FE-496A5FE57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52188159"/>
        <c:axId val="252188639"/>
      </c:barChart>
      <c:lineChart>
        <c:grouping val="standard"/>
        <c:varyColors val="0"/>
        <c:ser>
          <c:idx val="0"/>
          <c:order val="0"/>
          <c:tx>
            <c:strRef>
              <c:f>'High Fat Mass Result'!$C$3</c:f>
              <c:strCache>
                <c:ptCount val="1"/>
                <c:pt idx="0">
                  <c:v>Body length(m)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'High Fat Mass Result'!$B$4:$B$60</c:f>
              <c:strCache>
                <c:ptCount val="57"/>
                <c:pt idx="0">
                  <c:v>Utatsusaurus hataii-245Ma</c:v>
                </c:pt>
                <c:pt idx="1">
                  <c:v>Shastasaurus pacificus-235Ma</c:v>
                </c:pt>
                <c:pt idx="2">
                  <c:v>Omphalosaurus wolfi-240Ma</c:v>
                </c:pt>
                <c:pt idx="3">
                  <c:v>Cymbospondylus piscosus-240Ma</c:v>
                </c:pt>
                <c:pt idx="4">
                  <c:v>more-Cymbospondylus buchseri-240Ma</c:v>
                </c:pt>
                <c:pt idx="5">
                  <c:v>Phalarodon atavus-245Ma</c:v>
                </c:pt>
                <c:pt idx="6">
                  <c:v>Mikadocephalus gracilirostris-245Ma</c:v>
                </c:pt>
                <c:pt idx="7">
                  <c:v>Cymbospondylus nichollsi-240Ma</c:v>
                </c:pt>
                <c:pt idx="8">
                  <c:v>Mixosaurus cornalianus-245Ma</c:v>
                </c:pt>
                <c:pt idx="9">
                  <c:v>Besanosaurus leptorhynchus-240Ma</c:v>
                </c:pt>
                <c:pt idx="10">
                  <c:v>Mikadocephalus gracilirostris-240Ma</c:v>
                </c:pt>
                <c:pt idx="11">
                  <c:v>Thalattoarchon saurophagis-245Ma</c:v>
                </c:pt>
                <c:pt idx="12">
                  <c:v>Besanosaurus leptorhynchus-245Ma</c:v>
                </c:pt>
                <c:pt idx="13">
                  <c:v>Cymbospondylus duelferi-245Ma</c:v>
                </c:pt>
                <c:pt idx="14">
                  <c:v>Cymbospondylus nichollsi-245Ma</c:v>
                </c:pt>
                <c:pt idx="15">
                  <c:v>Mixosaurus cornalianus-240Ma</c:v>
                </c:pt>
                <c:pt idx="16">
                  <c:v>Phalarodon callawayi-240Ma</c:v>
                </c:pt>
                <c:pt idx="17">
                  <c:v>Macgowania janiceps-220Ma</c:v>
                </c:pt>
                <c:pt idx="18">
                  <c:v>Cymbospondylus buchseri-245Ma</c:v>
                </c:pt>
                <c:pt idx="19">
                  <c:v>Cymbospondylus piscosus-245Ma</c:v>
                </c:pt>
                <c:pt idx="20">
                  <c:v>Himalayasaurus tibetensis-220Ma</c:v>
                </c:pt>
                <c:pt idx="21">
                  <c:v>Omphalosaurus nevadanus-245Ma</c:v>
                </c:pt>
                <c:pt idx="22">
                  <c:v>Cymbospondylus duelferi-240Ma</c:v>
                </c:pt>
                <c:pt idx="23">
                  <c:v>Hudsonelpidia brevirostris-220Ma</c:v>
                </c:pt>
                <c:pt idx="24">
                  <c:v>Callawayia neoscapularis-220Ma</c:v>
                </c:pt>
                <c:pt idx="25">
                  <c:v>Phalarodon fraasi-245Ma</c:v>
                </c:pt>
                <c:pt idx="26">
                  <c:v>Shonisaurus popularis-230Ma</c:v>
                </c:pt>
                <c:pt idx="27">
                  <c:v>Shastasaurus pacificus-230Ma</c:v>
                </c:pt>
                <c:pt idx="28">
                  <c:v>Gulosaurus helmi-245Ma</c:v>
                </c:pt>
                <c:pt idx="29">
                  <c:v>Hudsonelpidia brevirostris-225Ma</c:v>
                </c:pt>
                <c:pt idx="30">
                  <c:v>Shastasaurus tangae-230Ma</c:v>
                </c:pt>
                <c:pt idx="31">
                  <c:v>Thaisaurus chonglakmanii-245Ma</c:v>
                </c:pt>
                <c:pt idx="32">
                  <c:v>Himalayasaurus tibetensis-215Ma</c:v>
                </c:pt>
                <c:pt idx="33">
                  <c:v>Phalarodon fraasi-240Ma</c:v>
                </c:pt>
                <c:pt idx="34">
                  <c:v>Parvinatator wapitiensis-245Ma</c:v>
                </c:pt>
                <c:pt idx="35">
                  <c:v>Callarwayia wolongganagense-230Ma</c:v>
                </c:pt>
                <c:pt idx="36">
                  <c:v>Californosaurus perrini-230Ma</c:v>
                </c:pt>
                <c:pt idx="37">
                  <c:v>Phalarodon callawayi-245Ma</c:v>
                </c:pt>
                <c:pt idx="38">
                  <c:v>Parvinatator wapitiensis-240Ma</c:v>
                </c:pt>
                <c:pt idx="39">
                  <c:v>Grippia longirostris-245Ma</c:v>
                </c:pt>
                <c:pt idx="40">
                  <c:v>Toretocnemus californicus-230Ma</c:v>
                </c:pt>
                <c:pt idx="41">
                  <c:v>Toretocnemus zitteli-230Ma</c:v>
                </c:pt>
                <c:pt idx="42">
                  <c:v>Shastasaurus sikanniensis-215Ma</c:v>
                </c:pt>
                <c:pt idx="43">
                  <c:v>Xinminosaurus catactes-245Ma</c:v>
                </c:pt>
                <c:pt idx="44">
                  <c:v>Shastasaurus liangae-235Ma</c:v>
                </c:pt>
                <c:pt idx="45">
                  <c:v>Phantomosaurus neubigi-245Ma</c:v>
                </c:pt>
                <c:pt idx="46">
                  <c:v>Shastasaurus tangae-235Ma</c:v>
                </c:pt>
                <c:pt idx="47">
                  <c:v>Quasianosteosaurus vikinghoegdai-245Ma</c:v>
                </c:pt>
                <c:pt idx="48">
                  <c:v>Barracudasauroides panxianensis-245Ma</c:v>
                </c:pt>
                <c:pt idx="49">
                  <c:v>Chaohusaurus geishanensis-245Ma</c:v>
                </c:pt>
                <c:pt idx="50">
                  <c:v>Chaohusaurus chaoxianensis-245Ma</c:v>
                </c:pt>
                <c:pt idx="51">
                  <c:v>Sclerocormus parviceps-245Ma</c:v>
                </c:pt>
                <c:pt idx="52">
                  <c:v>Chaohusaurus zhangjiawanensis-245Ma</c:v>
                </c:pt>
                <c:pt idx="53">
                  <c:v>Qianichthyosaurus xingyiensis-235Ma</c:v>
                </c:pt>
                <c:pt idx="54">
                  <c:v>Cartorhynchus lenticarpus-245Ma</c:v>
                </c:pt>
                <c:pt idx="55">
                  <c:v>Callarwayia wolongganagense-235Ma</c:v>
                </c:pt>
                <c:pt idx="56">
                  <c:v>Qianichthyosaurus zhoui-235Ma</c:v>
                </c:pt>
              </c:strCache>
            </c:strRef>
          </c:cat>
          <c:val>
            <c:numRef>
              <c:f>'High Fat Mass Result'!$C$4:$C$60</c:f>
              <c:numCache>
                <c:formatCode>General</c:formatCode>
                <c:ptCount val="57"/>
                <c:pt idx="0">
                  <c:v>3</c:v>
                </c:pt>
                <c:pt idx="1">
                  <c:v>21</c:v>
                </c:pt>
                <c:pt idx="2">
                  <c:v>1</c:v>
                </c:pt>
                <c:pt idx="3">
                  <c:v>7.6</c:v>
                </c:pt>
                <c:pt idx="4">
                  <c:v>1.5</c:v>
                </c:pt>
                <c:pt idx="5">
                  <c:v>1.5</c:v>
                </c:pt>
                <c:pt idx="6">
                  <c:v>3</c:v>
                </c:pt>
                <c:pt idx="7">
                  <c:v>4.3</c:v>
                </c:pt>
                <c:pt idx="8">
                  <c:v>3</c:v>
                </c:pt>
                <c:pt idx="9">
                  <c:v>8</c:v>
                </c:pt>
                <c:pt idx="10">
                  <c:v>2</c:v>
                </c:pt>
                <c:pt idx="11">
                  <c:v>8.6</c:v>
                </c:pt>
                <c:pt idx="12">
                  <c:v>8</c:v>
                </c:pt>
                <c:pt idx="13">
                  <c:v>5.5</c:v>
                </c:pt>
                <c:pt idx="14">
                  <c:v>4.3</c:v>
                </c:pt>
                <c:pt idx="15">
                  <c:v>3</c:v>
                </c:pt>
                <c:pt idx="16">
                  <c:v>1.5</c:v>
                </c:pt>
                <c:pt idx="17">
                  <c:v>2</c:v>
                </c:pt>
                <c:pt idx="18">
                  <c:v>1.5</c:v>
                </c:pt>
                <c:pt idx="19">
                  <c:v>7.6</c:v>
                </c:pt>
                <c:pt idx="20">
                  <c:v>1.5</c:v>
                </c:pt>
                <c:pt idx="21">
                  <c:v>3.5</c:v>
                </c:pt>
                <c:pt idx="22">
                  <c:v>5.5</c:v>
                </c:pt>
                <c:pt idx="23">
                  <c:v>15</c:v>
                </c:pt>
                <c:pt idx="24">
                  <c:v>2</c:v>
                </c:pt>
                <c:pt idx="25">
                  <c:v>5</c:v>
                </c:pt>
                <c:pt idx="26">
                  <c:v>1.5</c:v>
                </c:pt>
                <c:pt idx="27">
                  <c:v>7</c:v>
                </c:pt>
                <c:pt idx="28">
                  <c:v>18</c:v>
                </c:pt>
                <c:pt idx="29">
                  <c:v>15</c:v>
                </c:pt>
                <c:pt idx="30">
                  <c:v>10</c:v>
                </c:pt>
                <c:pt idx="31">
                  <c:v>2</c:v>
                </c:pt>
                <c:pt idx="32">
                  <c:v>1.5</c:v>
                </c:pt>
                <c:pt idx="33">
                  <c:v>1</c:v>
                </c:pt>
                <c:pt idx="34">
                  <c:v>1</c:v>
                </c:pt>
                <c:pt idx="35">
                  <c:v>3</c:v>
                </c:pt>
                <c:pt idx="36">
                  <c:v>3</c:v>
                </c:pt>
                <c:pt idx="37">
                  <c:v>1</c:v>
                </c:pt>
                <c:pt idx="38">
                  <c:v>1</c:v>
                </c:pt>
                <c:pt idx="39">
                  <c:v>18</c:v>
                </c:pt>
                <c:pt idx="40">
                  <c:v>1</c:v>
                </c:pt>
                <c:pt idx="41">
                  <c:v>2</c:v>
                </c:pt>
                <c:pt idx="42">
                  <c:v>10</c:v>
                </c:pt>
                <c:pt idx="43">
                  <c:v>2.2999999999999998</c:v>
                </c:pt>
                <c:pt idx="44">
                  <c:v>7</c:v>
                </c:pt>
                <c:pt idx="45">
                  <c:v>1.3</c:v>
                </c:pt>
                <c:pt idx="46">
                  <c:v>15</c:v>
                </c:pt>
                <c:pt idx="47">
                  <c:v>1.6</c:v>
                </c:pt>
                <c:pt idx="48">
                  <c:v>1</c:v>
                </c:pt>
                <c:pt idx="49">
                  <c:v>1.8</c:v>
                </c:pt>
                <c:pt idx="50">
                  <c:v>1.3</c:v>
                </c:pt>
                <c:pt idx="51">
                  <c:v>9.25</c:v>
                </c:pt>
                <c:pt idx="52">
                  <c:v>1</c:v>
                </c:pt>
                <c:pt idx="53">
                  <c:v>1.5</c:v>
                </c:pt>
                <c:pt idx="54">
                  <c:v>0.4</c:v>
                </c:pt>
                <c:pt idx="55">
                  <c:v>3</c:v>
                </c:pt>
                <c:pt idx="5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A3-4107-B0FE-496A5FE574DB}"/>
            </c:ext>
          </c:extLst>
        </c:ser>
        <c:ser>
          <c:idx val="2"/>
          <c:order val="2"/>
          <c:tx>
            <c:strRef>
              <c:f>'High Fat Mass Result'!$H$3</c:f>
              <c:strCache>
                <c:ptCount val="1"/>
                <c:pt idx="0">
                  <c:v>Average completion time (year/Agent)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'High Fat Mass Result'!$B$4:$B$60</c:f>
              <c:strCache>
                <c:ptCount val="57"/>
                <c:pt idx="0">
                  <c:v>Utatsusaurus hataii-245Ma</c:v>
                </c:pt>
                <c:pt idx="1">
                  <c:v>Shastasaurus pacificus-235Ma</c:v>
                </c:pt>
                <c:pt idx="2">
                  <c:v>Omphalosaurus wolfi-240Ma</c:v>
                </c:pt>
                <c:pt idx="3">
                  <c:v>Cymbospondylus piscosus-240Ma</c:v>
                </c:pt>
                <c:pt idx="4">
                  <c:v>more-Cymbospondylus buchseri-240Ma</c:v>
                </c:pt>
                <c:pt idx="5">
                  <c:v>Phalarodon atavus-245Ma</c:v>
                </c:pt>
                <c:pt idx="6">
                  <c:v>Mikadocephalus gracilirostris-245Ma</c:v>
                </c:pt>
                <c:pt idx="7">
                  <c:v>Cymbospondylus nichollsi-240Ma</c:v>
                </c:pt>
                <c:pt idx="8">
                  <c:v>Mixosaurus cornalianus-245Ma</c:v>
                </c:pt>
                <c:pt idx="9">
                  <c:v>Besanosaurus leptorhynchus-240Ma</c:v>
                </c:pt>
                <c:pt idx="10">
                  <c:v>Mikadocephalus gracilirostris-240Ma</c:v>
                </c:pt>
                <c:pt idx="11">
                  <c:v>Thalattoarchon saurophagis-245Ma</c:v>
                </c:pt>
                <c:pt idx="12">
                  <c:v>Besanosaurus leptorhynchus-245Ma</c:v>
                </c:pt>
                <c:pt idx="13">
                  <c:v>Cymbospondylus duelferi-245Ma</c:v>
                </c:pt>
                <c:pt idx="14">
                  <c:v>Cymbospondylus nichollsi-245Ma</c:v>
                </c:pt>
                <c:pt idx="15">
                  <c:v>Mixosaurus cornalianus-240Ma</c:v>
                </c:pt>
                <c:pt idx="16">
                  <c:v>Phalarodon callawayi-240Ma</c:v>
                </c:pt>
                <c:pt idx="17">
                  <c:v>Macgowania janiceps-220Ma</c:v>
                </c:pt>
                <c:pt idx="18">
                  <c:v>Cymbospondylus buchseri-245Ma</c:v>
                </c:pt>
                <c:pt idx="19">
                  <c:v>Cymbospondylus piscosus-245Ma</c:v>
                </c:pt>
                <c:pt idx="20">
                  <c:v>Himalayasaurus tibetensis-220Ma</c:v>
                </c:pt>
                <c:pt idx="21">
                  <c:v>Omphalosaurus nevadanus-245Ma</c:v>
                </c:pt>
                <c:pt idx="22">
                  <c:v>Cymbospondylus duelferi-240Ma</c:v>
                </c:pt>
                <c:pt idx="23">
                  <c:v>Hudsonelpidia brevirostris-220Ma</c:v>
                </c:pt>
                <c:pt idx="24">
                  <c:v>Callawayia neoscapularis-220Ma</c:v>
                </c:pt>
                <c:pt idx="25">
                  <c:v>Phalarodon fraasi-245Ma</c:v>
                </c:pt>
                <c:pt idx="26">
                  <c:v>Shonisaurus popularis-230Ma</c:v>
                </c:pt>
                <c:pt idx="27">
                  <c:v>Shastasaurus pacificus-230Ma</c:v>
                </c:pt>
                <c:pt idx="28">
                  <c:v>Gulosaurus helmi-245Ma</c:v>
                </c:pt>
                <c:pt idx="29">
                  <c:v>Hudsonelpidia brevirostris-225Ma</c:v>
                </c:pt>
                <c:pt idx="30">
                  <c:v>Shastasaurus tangae-230Ma</c:v>
                </c:pt>
                <c:pt idx="31">
                  <c:v>Thaisaurus chonglakmanii-245Ma</c:v>
                </c:pt>
                <c:pt idx="32">
                  <c:v>Himalayasaurus tibetensis-215Ma</c:v>
                </c:pt>
                <c:pt idx="33">
                  <c:v>Phalarodon fraasi-240Ma</c:v>
                </c:pt>
                <c:pt idx="34">
                  <c:v>Parvinatator wapitiensis-245Ma</c:v>
                </c:pt>
                <c:pt idx="35">
                  <c:v>Callarwayia wolongganagense-230Ma</c:v>
                </c:pt>
                <c:pt idx="36">
                  <c:v>Californosaurus perrini-230Ma</c:v>
                </c:pt>
                <c:pt idx="37">
                  <c:v>Phalarodon callawayi-245Ma</c:v>
                </c:pt>
                <c:pt idx="38">
                  <c:v>Parvinatator wapitiensis-240Ma</c:v>
                </c:pt>
                <c:pt idx="39">
                  <c:v>Grippia longirostris-245Ma</c:v>
                </c:pt>
                <c:pt idx="40">
                  <c:v>Toretocnemus californicus-230Ma</c:v>
                </c:pt>
                <c:pt idx="41">
                  <c:v>Toretocnemus zitteli-230Ma</c:v>
                </c:pt>
                <c:pt idx="42">
                  <c:v>Shastasaurus sikanniensis-215Ma</c:v>
                </c:pt>
                <c:pt idx="43">
                  <c:v>Xinminosaurus catactes-245Ma</c:v>
                </c:pt>
                <c:pt idx="44">
                  <c:v>Shastasaurus liangae-235Ma</c:v>
                </c:pt>
                <c:pt idx="45">
                  <c:v>Phantomosaurus neubigi-245Ma</c:v>
                </c:pt>
                <c:pt idx="46">
                  <c:v>Shastasaurus tangae-235Ma</c:v>
                </c:pt>
                <c:pt idx="47">
                  <c:v>Quasianosteosaurus vikinghoegdai-245Ma</c:v>
                </c:pt>
                <c:pt idx="48">
                  <c:v>Barracudasauroides panxianensis-245Ma</c:v>
                </c:pt>
                <c:pt idx="49">
                  <c:v>Chaohusaurus geishanensis-245Ma</c:v>
                </c:pt>
                <c:pt idx="50">
                  <c:v>Chaohusaurus chaoxianensis-245Ma</c:v>
                </c:pt>
                <c:pt idx="51">
                  <c:v>Sclerocormus parviceps-245Ma</c:v>
                </c:pt>
                <c:pt idx="52">
                  <c:v>Chaohusaurus zhangjiawanensis-245Ma</c:v>
                </c:pt>
                <c:pt idx="53">
                  <c:v>Qianichthyosaurus xingyiensis-235Ma</c:v>
                </c:pt>
                <c:pt idx="54">
                  <c:v>Cartorhynchus lenticarpus-245Ma</c:v>
                </c:pt>
                <c:pt idx="55">
                  <c:v>Callarwayia wolongganagense-235Ma</c:v>
                </c:pt>
                <c:pt idx="56">
                  <c:v>Qianichthyosaurus zhoui-235Ma</c:v>
                </c:pt>
              </c:strCache>
            </c:strRef>
          </c:cat>
          <c:val>
            <c:numRef>
              <c:f>'High Fat Mass Result'!$H$4:$H$60</c:f>
              <c:numCache>
                <c:formatCode>0.0_);[Red]\(0.0\)</c:formatCode>
                <c:ptCount val="57"/>
                <c:pt idx="0">
                  <c:v>11.341814731528935</c:v>
                </c:pt>
                <c:pt idx="1">
                  <c:v>6.2055940880374649</c:v>
                </c:pt>
                <c:pt idx="2">
                  <c:v>10.348367882188056</c:v>
                </c:pt>
                <c:pt idx="3">
                  <c:v>4.4737018246601501</c:v>
                </c:pt>
                <c:pt idx="4">
                  <c:v>7.6330093169130038</c:v>
                </c:pt>
                <c:pt idx="5">
                  <c:v>17.388798096980164</c:v>
                </c:pt>
                <c:pt idx="6">
                  <c:v>14.410031235238456</c:v>
                </c:pt>
                <c:pt idx="7">
                  <c:v>6.9490010453539135</c:v>
                </c:pt>
                <c:pt idx="8">
                  <c:v>15.540799033968639</c:v>
                </c:pt>
                <c:pt idx="9">
                  <c:v>5.9091337264569068</c:v>
                </c:pt>
                <c:pt idx="10">
                  <c:v>13.290994199491914</c:v>
                </c:pt>
                <c:pt idx="11">
                  <c:v>6.6477968303155439</c:v>
                </c:pt>
                <c:pt idx="12">
                  <c:v>5.9237181162121706</c:v>
                </c:pt>
                <c:pt idx="13">
                  <c:v>9.354301510454718</c:v>
                </c:pt>
                <c:pt idx="14">
                  <c:v>6.8811874049267825</c:v>
                </c:pt>
                <c:pt idx="15">
                  <c:v>12.684217547695427</c:v>
                </c:pt>
                <c:pt idx="16">
                  <c:v>13.257911265932284</c:v>
                </c:pt>
                <c:pt idx="17">
                  <c:v>8.9017720248286718</c:v>
                </c:pt>
                <c:pt idx="18">
                  <c:v>7.8976195383749994</c:v>
                </c:pt>
                <c:pt idx="19">
                  <c:v>4.4291133042569921</c:v>
                </c:pt>
                <c:pt idx="20">
                  <c:v>5.0051255712002316</c:v>
                </c:pt>
                <c:pt idx="21">
                  <c:v>10.408165662644549</c:v>
                </c:pt>
                <c:pt idx="22">
                  <c:v>9.0491245484283365</c:v>
                </c:pt>
                <c:pt idx="23">
                  <c:v>10.044216977953862</c:v>
                </c:pt>
                <c:pt idx="24">
                  <c:v>10.45421451551568</c:v>
                </c:pt>
                <c:pt idx="25">
                  <c:v>16.479625706775035</c:v>
                </c:pt>
                <c:pt idx="26">
                  <c:v>4.2924477972204462</c:v>
                </c:pt>
                <c:pt idx="27">
                  <c:v>6.6627700458973074</c:v>
                </c:pt>
                <c:pt idx="28">
                  <c:v>15.33980018110171</c:v>
                </c:pt>
                <c:pt idx="29">
                  <c:v>8.2747621921348777</c:v>
                </c:pt>
                <c:pt idx="30">
                  <c:v>5.3636083882167052</c:v>
                </c:pt>
                <c:pt idx="31">
                  <c:v>15.662200754063118</c:v>
                </c:pt>
                <c:pt idx="32">
                  <c:v>4.8339347164042525</c:v>
                </c:pt>
                <c:pt idx="33">
                  <c:v>15.272772333555238</c:v>
                </c:pt>
                <c:pt idx="34">
                  <c:v>19.858632893230087</c:v>
                </c:pt>
                <c:pt idx="35">
                  <c:v>12.480552502485809</c:v>
                </c:pt>
                <c:pt idx="36">
                  <c:v>8.4834257264371047</c:v>
                </c:pt>
                <c:pt idx="37">
                  <c:v>14.142483844364172</c:v>
                </c:pt>
                <c:pt idx="38">
                  <c:v>18.977768278599441</c:v>
                </c:pt>
                <c:pt idx="39">
                  <c:v>12.442843455634037</c:v>
                </c:pt>
                <c:pt idx="40">
                  <c:v>10.272699226271627</c:v>
                </c:pt>
                <c:pt idx="41">
                  <c:v>9.8232403541168978</c:v>
                </c:pt>
                <c:pt idx="42">
                  <c:v>3.6185354605916094</c:v>
                </c:pt>
                <c:pt idx="43">
                  <c:v>9.7006640066147583</c:v>
                </c:pt>
                <c:pt idx="44">
                  <c:v>4.9203002665707283</c:v>
                </c:pt>
                <c:pt idx="45">
                  <c:v>5.5890007813729703</c:v>
                </c:pt>
                <c:pt idx="46">
                  <c:v>4.8324950976829975</c:v>
                </c:pt>
                <c:pt idx="47">
                  <c:v>21.771139834667348</c:v>
                </c:pt>
                <c:pt idx="48">
                  <c:v>13.671477868945683</c:v>
                </c:pt>
                <c:pt idx="49">
                  <c:v>11.165210027874888</c:v>
                </c:pt>
                <c:pt idx="50">
                  <c:v>13.968825941230751</c:v>
                </c:pt>
                <c:pt idx="51">
                  <c:v>12.879745315406488</c:v>
                </c:pt>
                <c:pt idx="52">
                  <c:v>13.904494896863424</c:v>
                </c:pt>
                <c:pt idx="53">
                  <c:v>8.0023229578604926</c:v>
                </c:pt>
                <c:pt idx="54">
                  <c:v>19.345580822752904</c:v>
                </c:pt>
                <c:pt idx="55">
                  <c:v>7.9733431253245497</c:v>
                </c:pt>
                <c:pt idx="56">
                  <c:v>6.8866124703498226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A3-4107-B0FE-496A5FE57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117519"/>
        <c:axId val="295116559"/>
      </c:lineChart>
      <c:catAx>
        <c:axId val="25218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2188639"/>
        <c:crosses val="autoZero"/>
        <c:auto val="1"/>
        <c:lblAlgn val="ctr"/>
        <c:lblOffset val="100"/>
        <c:noMultiLvlLbl val="0"/>
      </c:catAx>
      <c:valAx>
        <c:axId val="25218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2188159"/>
        <c:crosses val="autoZero"/>
        <c:crossBetween val="between"/>
      </c:valAx>
      <c:valAx>
        <c:axId val="29511655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5117519"/>
        <c:crosses val="max"/>
        <c:crossBetween val="between"/>
      </c:valAx>
      <c:catAx>
        <c:axId val="2951175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51165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206783858504296E-2"/>
          <c:y val="6.2409387391507747E-2"/>
          <c:w val="0.96378389792209895"/>
          <c:h val="0.66633523003271766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'High Fat Mass Result'!$B$62:$B$95</c:f>
              <c:strCache>
                <c:ptCount val="34"/>
                <c:pt idx="0">
                  <c:v>Cyamodus hildegardis-245Ma</c:v>
                </c:pt>
                <c:pt idx="1">
                  <c:v>Paraplacodus broilli-245Ma</c:v>
                </c:pt>
                <c:pt idx="2">
                  <c:v>Cyamodus kuhnschnyderi-240Ma</c:v>
                </c:pt>
                <c:pt idx="3">
                  <c:v>Helveticosaurus zollingeri-245Ma</c:v>
                </c:pt>
                <c:pt idx="4">
                  <c:v>Helveticosaurus zollingeri-240Ma</c:v>
                </c:pt>
                <c:pt idx="5">
                  <c:v>Cyamodus muensteri-240Ma</c:v>
                </c:pt>
                <c:pt idx="6">
                  <c:v>Cyamodus rostratus-240Ma</c:v>
                </c:pt>
                <c:pt idx="7">
                  <c:v>Henodus chelyops-240Ma</c:v>
                </c:pt>
                <c:pt idx="8">
                  <c:v>Eusaurosphargis dalsassoi-245Ma</c:v>
                </c:pt>
                <c:pt idx="9">
                  <c:v>Psephosauriscus sinaiticus-245Ma</c:v>
                </c:pt>
                <c:pt idx="10">
                  <c:v>Placodus gigas-240Ma</c:v>
                </c:pt>
                <c:pt idx="11">
                  <c:v>Psephosauriscus mosis-245Ma</c:v>
                </c:pt>
                <c:pt idx="12">
                  <c:v>Psephosauriscus ramonensis-245Ma</c:v>
                </c:pt>
                <c:pt idx="13">
                  <c:v>Placochelys placodonta-240Ma</c:v>
                </c:pt>
                <c:pt idx="14">
                  <c:v>Psephosauriscus rhombifer-240Ma</c:v>
                </c:pt>
                <c:pt idx="15">
                  <c:v>Henodus chelyops-235Ma</c:v>
                </c:pt>
                <c:pt idx="16">
                  <c:v>Pararcus diepenbroek-240Ma</c:v>
                </c:pt>
                <c:pt idx="17">
                  <c:v>Atopodentatus unicus-245Ma</c:v>
                </c:pt>
                <c:pt idx="18">
                  <c:v>Psephoderma alpinum-20Ma5Ma</c:v>
                </c:pt>
                <c:pt idx="19">
                  <c:v>Psephoderma alpinum-215Ma</c:v>
                </c:pt>
                <c:pt idx="20">
                  <c:v>Placodus gigas-245Ma</c:v>
                </c:pt>
                <c:pt idx="21">
                  <c:v>Psephoderma alpinum-210Ma</c:v>
                </c:pt>
                <c:pt idx="22">
                  <c:v>Placochelys placodonta-235Ma</c:v>
                </c:pt>
                <c:pt idx="23">
                  <c:v>Placodus inexpectatus-245Ma</c:v>
                </c:pt>
                <c:pt idx="24">
                  <c:v>Palatodonta bleekeri--245Ma</c:v>
                </c:pt>
                <c:pt idx="25">
                  <c:v>Glyphoderma kangi-240Ma</c:v>
                </c:pt>
                <c:pt idx="26">
                  <c:v>Cyamodus rostratus-245Ma</c:v>
                </c:pt>
                <c:pt idx="27">
                  <c:v>Cyamodus muensteri-245Ma</c:v>
                </c:pt>
                <c:pt idx="28">
                  <c:v>Macroplacus raeticus-20Ma5Ma</c:v>
                </c:pt>
                <c:pt idx="29">
                  <c:v>Pararcus diepenbroek-245Ma</c:v>
                </c:pt>
                <c:pt idx="30">
                  <c:v>Cyamodus orientalis-235Ma</c:v>
                </c:pt>
                <c:pt idx="31">
                  <c:v>Sinocyamodus xinpuensis-235Ma</c:v>
                </c:pt>
                <c:pt idx="32">
                  <c:v>Psephochelys polyosteoderma-235Ma</c:v>
                </c:pt>
                <c:pt idx="33">
                  <c:v>Glyphoderma kangi-235Ma</c:v>
                </c:pt>
              </c:strCache>
            </c:strRef>
          </c:cat>
          <c:val>
            <c:numRef>
              <c:f>'High Fat Mass Result'!$G$62:$G$95</c:f>
              <c:numCache>
                <c:formatCode>General</c:formatCode>
                <c:ptCount val="34"/>
                <c:pt idx="0">
                  <c:v>5090.6343524000004</c:v>
                </c:pt>
                <c:pt idx="1">
                  <c:v>4713.1702777999999</c:v>
                </c:pt>
                <c:pt idx="2">
                  <c:v>4461.7217737000001</c:v>
                </c:pt>
                <c:pt idx="3">
                  <c:v>4267.7688230999993</c:v>
                </c:pt>
                <c:pt idx="4">
                  <c:v>4230.4533609999999</c:v>
                </c:pt>
                <c:pt idx="5">
                  <c:v>3979.1105610999998</c:v>
                </c:pt>
                <c:pt idx="6">
                  <c:v>3539.679181</c:v>
                </c:pt>
                <c:pt idx="7">
                  <c:v>3495.7773022000001</c:v>
                </c:pt>
                <c:pt idx="8">
                  <c:v>2952.3462866</c:v>
                </c:pt>
                <c:pt idx="9">
                  <c:v>2777.4478389999999</c:v>
                </c:pt>
                <c:pt idx="10">
                  <c:v>2756.2169067</c:v>
                </c:pt>
                <c:pt idx="11">
                  <c:v>2605.3174819000001</c:v>
                </c:pt>
                <c:pt idx="12">
                  <c:v>2603.6190415000001</c:v>
                </c:pt>
                <c:pt idx="13">
                  <c:v>2559.7958023000001</c:v>
                </c:pt>
                <c:pt idx="14">
                  <c:v>2142.2194748000002</c:v>
                </c:pt>
                <c:pt idx="15">
                  <c:v>1780.2251570999999</c:v>
                </c:pt>
                <c:pt idx="16">
                  <c:v>1698.1896578000001</c:v>
                </c:pt>
                <c:pt idx="17">
                  <c:v>1625.877135</c:v>
                </c:pt>
                <c:pt idx="18">
                  <c:v>1563.6930053999999</c:v>
                </c:pt>
                <c:pt idx="19">
                  <c:v>1518.1713511</c:v>
                </c:pt>
                <c:pt idx="20">
                  <c:v>1488.8257659000001</c:v>
                </c:pt>
                <c:pt idx="21">
                  <c:v>1380.8746547999999</c:v>
                </c:pt>
                <c:pt idx="22">
                  <c:v>1367.8450551999999</c:v>
                </c:pt>
                <c:pt idx="23">
                  <c:v>1328.6008763</c:v>
                </c:pt>
                <c:pt idx="24">
                  <c:v>1267.9553457</c:v>
                </c:pt>
                <c:pt idx="25">
                  <c:v>1257.0477867</c:v>
                </c:pt>
                <c:pt idx="26">
                  <c:v>1203.5346258</c:v>
                </c:pt>
                <c:pt idx="27">
                  <c:v>1192.2109235</c:v>
                </c:pt>
                <c:pt idx="28">
                  <c:v>1081.1533202999999</c:v>
                </c:pt>
                <c:pt idx="29">
                  <c:v>982.2840923</c:v>
                </c:pt>
                <c:pt idx="30">
                  <c:v>757.42493530000002</c:v>
                </c:pt>
                <c:pt idx="31">
                  <c:v>660.70074320000003</c:v>
                </c:pt>
                <c:pt idx="32">
                  <c:v>614.51224450000007</c:v>
                </c:pt>
                <c:pt idx="33">
                  <c:v>584.46696650000001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9A-4B7C-A6C9-2AB6A9D00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5072159"/>
        <c:axId val="385072639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'High Fat Mass Result'!$B$62:$B$95</c:f>
              <c:strCache>
                <c:ptCount val="34"/>
                <c:pt idx="0">
                  <c:v>Cyamodus hildegardis-245Ma</c:v>
                </c:pt>
                <c:pt idx="1">
                  <c:v>Paraplacodus broilli-245Ma</c:v>
                </c:pt>
                <c:pt idx="2">
                  <c:v>Cyamodus kuhnschnyderi-240Ma</c:v>
                </c:pt>
                <c:pt idx="3">
                  <c:v>Helveticosaurus zollingeri-245Ma</c:v>
                </c:pt>
                <c:pt idx="4">
                  <c:v>Helveticosaurus zollingeri-240Ma</c:v>
                </c:pt>
                <c:pt idx="5">
                  <c:v>Cyamodus muensteri-240Ma</c:v>
                </c:pt>
                <c:pt idx="6">
                  <c:v>Cyamodus rostratus-240Ma</c:v>
                </c:pt>
                <c:pt idx="7">
                  <c:v>Henodus chelyops-240Ma</c:v>
                </c:pt>
                <c:pt idx="8">
                  <c:v>Eusaurosphargis dalsassoi-245Ma</c:v>
                </c:pt>
                <c:pt idx="9">
                  <c:v>Psephosauriscus sinaiticus-245Ma</c:v>
                </c:pt>
                <c:pt idx="10">
                  <c:v>Placodus gigas-240Ma</c:v>
                </c:pt>
                <c:pt idx="11">
                  <c:v>Psephosauriscus mosis-245Ma</c:v>
                </c:pt>
                <c:pt idx="12">
                  <c:v>Psephosauriscus ramonensis-245Ma</c:v>
                </c:pt>
                <c:pt idx="13">
                  <c:v>Placochelys placodonta-240Ma</c:v>
                </c:pt>
                <c:pt idx="14">
                  <c:v>Psephosauriscus rhombifer-240Ma</c:v>
                </c:pt>
                <c:pt idx="15">
                  <c:v>Henodus chelyops-235Ma</c:v>
                </c:pt>
                <c:pt idx="16">
                  <c:v>Pararcus diepenbroek-240Ma</c:v>
                </c:pt>
                <c:pt idx="17">
                  <c:v>Atopodentatus unicus-245Ma</c:v>
                </c:pt>
                <c:pt idx="18">
                  <c:v>Psephoderma alpinum-20Ma5Ma</c:v>
                </c:pt>
                <c:pt idx="19">
                  <c:v>Psephoderma alpinum-215Ma</c:v>
                </c:pt>
                <c:pt idx="20">
                  <c:v>Placodus gigas-245Ma</c:v>
                </c:pt>
                <c:pt idx="21">
                  <c:v>Psephoderma alpinum-210Ma</c:v>
                </c:pt>
                <c:pt idx="22">
                  <c:v>Placochelys placodonta-235Ma</c:v>
                </c:pt>
                <c:pt idx="23">
                  <c:v>Placodus inexpectatus-245Ma</c:v>
                </c:pt>
                <c:pt idx="24">
                  <c:v>Palatodonta bleekeri--245Ma</c:v>
                </c:pt>
                <c:pt idx="25">
                  <c:v>Glyphoderma kangi-240Ma</c:v>
                </c:pt>
                <c:pt idx="26">
                  <c:v>Cyamodus rostratus-245Ma</c:v>
                </c:pt>
                <c:pt idx="27">
                  <c:v>Cyamodus muensteri-245Ma</c:v>
                </c:pt>
                <c:pt idx="28">
                  <c:v>Macroplacus raeticus-20Ma5Ma</c:v>
                </c:pt>
                <c:pt idx="29">
                  <c:v>Pararcus diepenbroek-245Ma</c:v>
                </c:pt>
                <c:pt idx="30">
                  <c:v>Cyamodus orientalis-235Ma</c:v>
                </c:pt>
                <c:pt idx="31">
                  <c:v>Sinocyamodus xinpuensis-235Ma</c:v>
                </c:pt>
                <c:pt idx="32">
                  <c:v>Psephochelys polyosteoderma-235Ma</c:v>
                </c:pt>
                <c:pt idx="33">
                  <c:v>Glyphoderma kangi-235Ma</c:v>
                </c:pt>
              </c:strCache>
            </c:strRef>
          </c:cat>
          <c:val>
            <c:numRef>
              <c:f>'High Fat Mass Result'!$C$62:$C$95</c:f>
              <c:numCache>
                <c:formatCode>General</c:formatCode>
                <c:ptCount val="34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3.6</c:v>
                </c:pt>
                <c:pt idx="4">
                  <c:v>3.6</c:v>
                </c:pt>
                <c:pt idx="5">
                  <c:v>1.3</c:v>
                </c:pt>
                <c:pt idx="6">
                  <c:v>1.3</c:v>
                </c:pt>
                <c:pt idx="7">
                  <c:v>1</c:v>
                </c:pt>
                <c:pt idx="8">
                  <c:v>0.2</c:v>
                </c:pt>
                <c:pt idx="9">
                  <c:v>1.2</c:v>
                </c:pt>
                <c:pt idx="10">
                  <c:v>2</c:v>
                </c:pt>
                <c:pt idx="11">
                  <c:v>1.2</c:v>
                </c:pt>
                <c:pt idx="12">
                  <c:v>1.3</c:v>
                </c:pt>
                <c:pt idx="13">
                  <c:v>0.95</c:v>
                </c:pt>
                <c:pt idx="14">
                  <c:v>1.3</c:v>
                </c:pt>
                <c:pt idx="15">
                  <c:v>1</c:v>
                </c:pt>
                <c:pt idx="16">
                  <c:v>1.5</c:v>
                </c:pt>
                <c:pt idx="17">
                  <c:v>3</c:v>
                </c:pt>
                <c:pt idx="18">
                  <c:v>1.25</c:v>
                </c:pt>
                <c:pt idx="19">
                  <c:v>1.25</c:v>
                </c:pt>
                <c:pt idx="20">
                  <c:v>2</c:v>
                </c:pt>
                <c:pt idx="21">
                  <c:v>1.25</c:v>
                </c:pt>
                <c:pt idx="22">
                  <c:v>0.95</c:v>
                </c:pt>
                <c:pt idx="23">
                  <c:v>2.5</c:v>
                </c:pt>
                <c:pt idx="24">
                  <c:v>1.5</c:v>
                </c:pt>
                <c:pt idx="25">
                  <c:v>0.95</c:v>
                </c:pt>
                <c:pt idx="26">
                  <c:v>1.3</c:v>
                </c:pt>
                <c:pt idx="27">
                  <c:v>1.3</c:v>
                </c:pt>
                <c:pt idx="28">
                  <c:v>1</c:v>
                </c:pt>
                <c:pt idx="29">
                  <c:v>1.5</c:v>
                </c:pt>
                <c:pt idx="30">
                  <c:v>1.3</c:v>
                </c:pt>
                <c:pt idx="31">
                  <c:v>1</c:v>
                </c:pt>
                <c:pt idx="32">
                  <c:v>1</c:v>
                </c:pt>
                <c:pt idx="33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A-4B7C-A6C9-2AB6A9D0029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'High Fat Mass Result'!$B$62:$B$95</c:f>
              <c:strCache>
                <c:ptCount val="34"/>
                <c:pt idx="0">
                  <c:v>Cyamodus hildegardis-245Ma</c:v>
                </c:pt>
                <c:pt idx="1">
                  <c:v>Paraplacodus broilli-245Ma</c:v>
                </c:pt>
                <c:pt idx="2">
                  <c:v>Cyamodus kuhnschnyderi-240Ma</c:v>
                </c:pt>
                <c:pt idx="3">
                  <c:v>Helveticosaurus zollingeri-245Ma</c:v>
                </c:pt>
                <c:pt idx="4">
                  <c:v>Helveticosaurus zollingeri-240Ma</c:v>
                </c:pt>
                <c:pt idx="5">
                  <c:v>Cyamodus muensteri-240Ma</c:v>
                </c:pt>
                <c:pt idx="6">
                  <c:v>Cyamodus rostratus-240Ma</c:v>
                </c:pt>
                <c:pt idx="7">
                  <c:v>Henodus chelyops-240Ma</c:v>
                </c:pt>
                <c:pt idx="8">
                  <c:v>Eusaurosphargis dalsassoi-245Ma</c:v>
                </c:pt>
                <c:pt idx="9">
                  <c:v>Psephosauriscus sinaiticus-245Ma</c:v>
                </c:pt>
                <c:pt idx="10">
                  <c:v>Placodus gigas-240Ma</c:v>
                </c:pt>
                <c:pt idx="11">
                  <c:v>Psephosauriscus mosis-245Ma</c:v>
                </c:pt>
                <c:pt idx="12">
                  <c:v>Psephosauriscus ramonensis-245Ma</c:v>
                </c:pt>
                <c:pt idx="13">
                  <c:v>Placochelys placodonta-240Ma</c:v>
                </c:pt>
                <c:pt idx="14">
                  <c:v>Psephosauriscus rhombifer-240Ma</c:v>
                </c:pt>
                <c:pt idx="15">
                  <c:v>Henodus chelyops-235Ma</c:v>
                </c:pt>
                <c:pt idx="16">
                  <c:v>Pararcus diepenbroek-240Ma</c:v>
                </c:pt>
                <c:pt idx="17">
                  <c:v>Atopodentatus unicus-245Ma</c:v>
                </c:pt>
                <c:pt idx="18">
                  <c:v>Psephoderma alpinum-20Ma5Ma</c:v>
                </c:pt>
                <c:pt idx="19">
                  <c:v>Psephoderma alpinum-215Ma</c:v>
                </c:pt>
                <c:pt idx="20">
                  <c:v>Placodus gigas-245Ma</c:v>
                </c:pt>
                <c:pt idx="21">
                  <c:v>Psephoderma alpinum-210Ma</c:v>
                </c:pt>
                <c:pt idx="22">
                  <c:v>Placochelys placodonta-235Ma</c:v>
                </c:pt>
                <c:pt idx="23">
                  <c:v>Placodus inexpectatus-245Ma</c:v>
                </c:pt>
                <c:pt idx="24">
                  <c:v>Palatodonta bleekeri--245Ma</c:v>
                </c:pt>
                <c:pt idx="25">
                  <c:v>Glyphoderma kangi-240Ma</c:v>
                </c:pt>
                <c:pt idx="26">
                  <c:v>Cyamodus rostratus-245Ma</c:v>
                </c:pt>
                <c:pt idx="27">
                  <c:v>Cyamodus muensteri-245Ma</c:v>
                </c:pt>
                <c:pt idx="28">
                  <c:v>Macroplacus raeticus-20Ma5Ma</c:v>
                </c:pt>
                <c:pt idx="29">
                  <c:v>Pararcus diepenbroek-245Ma</c:v>
                </c:pt>
                <c:pt idx="30">
                  <c:v>Cyamodus orientalis-235Ma</c:v>
                </c:pt>
                <c:pt idx="31">
                  <c:v>Sinocyamodus xinpuensis-235Ma</c:v>
                </c:pt>
                <c:pt idx="32">
                  <c:v>Psephochelys polyosteoderma-235Ma</c:v>
                </c:pt>
                <c:pt idx="33">
                  <c:v>Glyphoderma kangi-235Ma</c:v>
                </c:pt>
              </c:strCache>
            </c:strRef>
          </c:cat>
          <c:val>
            <c:numRef>
              <c:f>'High Fat Mass Result'!$H$62:$H$95</c:f>
              <c:numCache>
                <c:formatCode>0.0_);[Red]\(0.0\)</c:formatCode>
                <c:ptCount val="34"/>
                <c:pt idx="0">
                  <c:v>13.615843708473157</c:v>
                </c:pt>
                <c:pt idx="1">
                  <c:v>14.073734844641503</c:v>
                </c:pt>
                <c:pt idx="2">
                  <c:v>12.08588202250761</c:v>
                </c:pt>
                <c:pt idx="3">
                  <c:v>8.1391571862482728</c:v>
                </c:pt>
                <c:pt idx="4">
                  <c:v>7.9831304962718797</c:v>
                </c:pt>
                <c:pt idx="5">
                  <c:v>11.984714446170758</c:v>
                </c:pt>
                <c:pt idx="6">
                  <c:v>11.610406171934487</c:v>
                </c:pt>
                <c:pt idx="7">
                  <c:v>9.8865471104855089</c:v>
                </c:pt>
                <c:pt idx="8">
                  <c:v>15.26195669725038</c:v>
                </c:pt>
                <c:pt idx="9">
                  <c:v>12.886055620893901</c:v>
                </c:pt>
                <c:pt idx="10">
                  <c:v>9.1308916801919064</c:v>
                </c:pt>
                <c:pt idx="11">
                  <c:v>14.135869218859305</c:v>
                </c:pt>
                <c:pt idx="12">
                  <c:v>12.72593542351931</c:v>
                </c:pt>
                <c:pt idx="13">
                  <c:v>12.077242011987586</c:v>
                </c:pt>
                <c:pt idx="14">
                  <c:v>9.6846606141597551</c:v>
                </c:pt>
                <c:pt idx="15">
                  <c:v>8.2728240519970502</c:v>
                </c:pt>
                <c:pt idx="16">
                  <c:v>8.2804861203187166</c:v>
                </c:pt>
                <c:pt idx="17">
                  <c:v>9.740543513227518</c:v>
                </c:pt>
                <c:pt idx="18">
                  <c:v>10.504512268367675</c:v>
                </c:pt>
                <c:pt idx="19">
                  <c:v>9.9356292917798381</c:v>
                </c:pt>
                <c:pt idx="20">
                  <c:v>7.7588273134727457</c:v>
                </c:pt>
                <c:pt idx="21">
                  <c:v>9.5037147043818653</c:v>
                </c:pt>
                <c:pt idx="22">
                  <c:v>10.260895609896849</c:v>
                </c:pt>
                <c:pt idx="23">
                  <c:v>8.9468639135635772</c:v>
                </c:pt>
                <c:pt idx="24">
                  <c:v>8.446807849901905</c:v>
                </c:pt>
                <c:pt idx="25">
                  <c:v>13.431728209935454</c:v>
                </c:pt>
                <c:pt idx="26">
                  <c:v>8.0872221171869292</c:v>
                </c:pt>
                <c:pt idx="27">
                  <c:v>7.8593717070141267</c:v>
                </c:pt>
                <c:pt idx="28">
                  <c:v>13.705539145281648</c:v>
                </c:pt>
                <c:pt idx="29">
                  <c:v>8.1701905707694547</c:v>
                </c:pt>
                <c:pt idx="30">
                  <c:v>8.2777331645305843</c:v>
                </c:pt>
                <c:pt idx="31">
                  <c:v>7.7251843772150872</c:v>
                </c:pt>
                <c:pt idx="32">
                  <c:v>7.9754676302233314</c:v>
                </c:pt>
                <c:pt idx="33">
                  <c:v>8.3422287560058983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9A-4B7C-A6C9-2AB6A9D00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0472464"/>
        <c:axId val="2050454224"/>
      </c:lineChart>
      <c:catAx>
        <c:axId val="38507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5072639"/>
        <c:crosses val="autoZero"/>
        <c:auto val="1"/>
        <c:lblAlgn val="ctr"/>
        <c:lblOffset val="100"/>
        <c:noMultiLvlLbl val="0"/>
      </c:catAx>
      <c:valAx>
        <c:axId val="38507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5072159"/>
        <c:crosses val="autoZero"/>
        <c:crossBetween val="between"/>
      </c:valAx>
      <c:valAx>
        <c:axId val="20504542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0472464"/>
        <c:crosses val="max"/>
        <c:crossBetween val="between"/>
      </c:valAx>
      <c:catAx>
        <c:axId val="2050472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504542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515359186662708E-2"/>
          <c:y val="2.8703800297610237E-2"/>
          <c:w val="0.96117494650330471"/>
          <c:h val="0.6742844339834541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'High Fat Mass Result'!$G$98</c:f>
              <c:strCache>
                <c:ptCount val="1"/>
                <c:pt idx="0">
                  <c:v>Average migration distance (km/Agent)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'High Fat Mass Result'!$B$99:$B$155</c:f>
              <c:strCache>
                <c:ptCount val="57"/>
                <c:pt idx="0">
                  <c:v>Utatsusaurus hataii-245Ma</c:v>
                </c:pt>
                <c:pt idx="1">
                  <c:v>Omphalosaurus wolfi-240Ma</c:v>
                </c:pt>
                <c:pt idx="2">
                  <c:v>Phalarodon atavus-245Ma</c:v>
                </c:pt>
                <c:pt idx="3">
                  <c:v>Mixosaurus cornalianus-240Ma</c:v>
                </c:pt>
                <c:pt idx="4">
                  <c:v>Mixosaurus cornalianus-245Ma</c:v>
                </c:pt>
                <c:pt idx="5">
                  <c:v>Mikadocephalus gracilirostris-240Ma</c:v>
                </c:pt>
                <c:pt idx="6">
                  <c:v>more-Cymbospondylus buchseri-240Ma</c:v>
                </c:pt>
                <c:pt idx="7">
                  <c:v>Besanosaurus leptorhynchus-240Ma</c:v>
                </c:pt>
                <c:pt idx="8">
                  <c:v>Mikadocephalus gracilirostris-245Ma</c:v>
                </c:pt>
                <c:pt idx="9">
                  <c:v>Cymbospondylus buchseri-245Ma</c:v>
                </c:pt>
                <c:pt idx="10">
                  <c:v>Shastasaurus pacificus-235Ma</c:v>
                </c:pt>
                <c:pt idx="11">
                  <c:v>Phalarodon callawayi-240Ma</c:v>
                </c:pt>
                <c:pt idx="12">
                  <c:v>Phalarodon fraasi-245Ma</c:v>
                </c:pt>
                <c:pt idx="13">
                  <c:v>Thaisaurus chonglakmanii-245Ma</c:v>
                </c:pt>
                <c:pt idx="14">
                  <c:v>Cymbospondylus duelferi-240Ma</c:v>
                </c:pt>
                <c:pt idx="15">
                  <c:v>Phalarodon fraasi-240Ma</c:v>
                </c:pt>
                <c:pt idx="16">
                  <c:v>Besanosaurus leptorhynchus-245Ma</c:v>
                </c:pt>
                <c:pt idx="17">
                  <c:v>Callarwayia wolongganagense-230Ma</c:v>
                </c:pt>
                <c:pt idx="18">
                  <c:v>Hudsonelpidia brevirostris-225Ma</c:v>
                </c:pt>
                <c:pt idx="19">
                  <c:v>Shastasaurus tangae-230Ma</c:v>
                </c:pt>
                <c:pt idx="20">
                  <c:v>Callawayia neoscapularis-220Ma</c:v>
                </c:pt>
                <c:pt idx="21">
                  <c:v>Cymbospondylus piscosus-240Ma</c:v>
                </c:pt>
                <c:pt idx="22">
                  <c:v>Cymbospondylus nichollsi-240Ma</c:v>
                </c:pt>
                <c:pt idx="23">
                  <c:v>Macgowania janiceps-220Ma</c:v>
                </c:pt>
                <c:pt idx="24">
                  <c:v>Cymbospondylus nichollsi-245Ma</c:v>
                </c:pt>
                <c:pt idx="25">
                  <c:v>Parvinatator wapitiensis-240Ma</c:v>
                </c:pt>
                <c:pt idx="26">
                  <c:v>Gulosaurus helmi-245Ma</c:v>
                </c:pt>
                <c:pt idx="27">
                  <c:v>Parvinatator wapitiensis-245Ma</c:v>
                </c:pt>
                <c:pt idx="28">
                  <c:v>Hudsonelpidia brevirostris-220Ma</c:v>
                </c:pt>
                <c:pt idx="29">
                  <c:v>Omphalosaurus nevadanus-245Ma</c:v>
                </c:pt>
                <c:pt idx="30">
                  <c:v>Thalattoarchon saurophagis-245Ma</c:v>
                </c:pt>
                <c:pt idx="31">
                  <c:v>Himalayasaurus tibetensis-215Ma</c:v>
                </c:pt>
                <c:pt idx="32">
                  <c:v>Phalarodon callawayi-245Ma</c:v>
                </c:pt>
                <c:pt idx="33">
                  <c:v>Cymbospondylus piscosus-245Ma</c:v>
                </c:pt>
                <c:pt idx="34">
                  <c:v>Himalayasaurus tibetensis-220Ma</c:v>
                </c:pt>
                <c:pt idx="35">
                  <c:v>Californosaurus perrini-230Ma</c:v>
                </c:pt>
                <c:pt idx="36">
                  <c:v>Shonisaurus popularis-230Ma</c:v>
                </c:pt>
                <c:pt idx="37">
                  <c:v>Grippia longirostris-245Ma</c:v>
                </c:pt>
                <c:pt idx="38">
                  <c:v>Toretocnemus californicus-230Ma</c:v>
                </c:pt>
                <c:pt idx="39">
                  <c:v>Cymbospondylus duelferi-245Ma</c:v>
                </c:pt>
                <c:pt idx="40">
                  <c:v>Toretocnemus zitteli-230Ma</c:v>
                </c:pt>
                <c:pt idx="41">
                  <c:v>Shastasaurus sikanniensis-215Ma</c:v>
                </c:pt>
                <c:pt idx="42">
                  <c:v>Shastasaurus pacificus-230Ma</c:v>
                </c:pt>
                <c:pt idx="43">
                  <c:v>Phantomosaurus neubigi-245Ma</c:v>
                </c:pt>
                <c:pt idx="44">
                  <c:v>Xinminosaurus catactes-245Ma</c:v>
                </c:pt>
                <c:pt idx="45">
                  <c:v>Quasianosteosaurus vikinghoegdai-245Ma</c:v>
                </c:pt>
                <c:pt idx="46">
                  <c:v>Chaohusaurus chaoxianensis-245Ma</c:v>
                </c:pt>
                <c:pt idx="47">
                  <c:v>Barracudasauroides panxianensis-245Ma</c:v>
                </c:pt>
                <c:pt idx="48">
                  <c:v>Sclerocormus parviceps-245Ma</c:v>
                </c:pt>
                <c:pt idx="49">
                  <c:v>Chaohusaurus zhangjiawanensis-245Ma</c:v>
                </c:pt>
                <c:pt idx="50">
                  <c:v>Shastasaurus liangae-235Ma</c:v>
                </c:pt>
                <c:pt idx="51">
                  <c:v>Chaohusaurus geishanensis-245Ma</c:v>
                </c:pt>
                <c:pt idx="52">
                  <c:v>Cartorhynchus lenticarpus-245Ma</c:v>
                </c:pt>
                <c:pt idx="53">
                  <c:v>Shastasaurus tangae-235Ma</c:v>
                </c:pt>
                <c:pt idx="54">
                  <c:v>Qianichthyosaurus xingyiensis-235Ma</c:v>
                </c:pt>
                <c:pt idx="55">
                  <c:v>Qianichthyosaurus zhoui-235Ma</c:v>
                </c:pt>
                <c:pt idx="56">
                  <c:v>Callarwayia wolongganagense-235Ma</c:v>
                </c:pt>
              </c:strCache>
            </c:strRef>
          </c:cat>
          <c:val>
            <c:numRef>
              <c:f>'High Fat Mass Result'!$G$99:$G$155</c:f>
              <c:numCache>
                <c:formatCode>General</c:formatCode>
                <c:ptCount val="57"/>
                <c:pt idx="0">
                  <c:v>4902.1108821999997</c:v>
                </c:pt>
                <c:pt idx="1">
                  <c:v>3818.7009440000002</c:v>
                </c:pt>
                <c:pt idx="2">
                  <c:v>2965.2984947999998</c:v>
                </c:pt>
                <c:pt idx="3">
                  <c:v>2912.3826156</c:v>
                </c:pt>
                <c:pt idx="4">
                  <c:v>2909.6739057</c:v>
                </c:pt>
                <c:pt idx="5">
                  <c:v>2897.1674111000002</c:v>
                </c:pt>
                <c:pt idx="6">
                  <c:v>2805.0741782</c:v>
                </c:pt>
                <c:pt idx="7">
                  <c:v>2607.5571323999998</c:v>
                </c:pt>
                <c:pt idx="8">
                  <c:v>2501.0037308999999</c:v>
                </c:pt>
                <c:pt idx="9">
                  <c:v>1850.8401481999999</c:v>
                </c:pt>
                <c:pt idx="10">
                  <c:v>1803.4407862999999</c:v>
                </c:pt>
                <c:pt idx="11">
                  <c:v>1783.2722900000001</c:v>
                </c:pt>
                <c:pt idx="12">
                  <c:v>1735.1888506</c:v>
                </c:pt>
                <c:pt idx="13">
                  <c:v>1632.1307632999999</c:v>
                </c:pt>
                <c:pt idx="14">
                  <c:v>1626.3324419999999</c:v>
                </c:pt>
                <c:pt idx="15">
                  <c:v>1595.6208071999999</c:v>
                </c:pt>
                <c:pt idx="16">
                  <c:v>1539.0839522000001</c:v>
                </c:pt>
                <c:pt idx="17">
                  <c:v>1333.2884675</c:v>
                </c:pt>
                <c:pt idx="18">
                  <c:v>1316.8802618</c:v>
                </c:pt>
                <c:pt idx="19">
                  <c:v>1278.8795826999999</c:v>
                </c:pt>
                <c:pt idx="20">
                  <c:v>1273.4391619</c:v>
                </c:pt>
                <c:pt idx="21">
                  <c:v>1264.9882743999999</c:v>
                </c:pt>
                <c:pt idx="22">
                  <c:v>1258.8414513</c:v>
                </c:pt>
                <c:pt idx="23">
                  <c:v>1130.6288187</c:v>
                </c:pt>
                <c:pt idx="24">
                  <c:v>1087.7237806000001</c:v>
                </c:pt>
                <c:pt idx="25">
                  <c:v>1056.8337586</c:v>
                </c:pt>
                <c:pt idx="26">
                  <c:v>1020.9355813</c:v>
                </c:pt>
                <c:pt idx="27">
                  <c:v>964.15264159999992</c:v>
                </c:pt>
                <c:pt idx="28">
                  <c:v>949.10892230000002</c:v>
                </c:pt>
                <c:pt idx="29">
                  <c:v>927.77820810000003</c:v>
                </c:pt>
                <c:pt idx="30">
                  <c:v>919.21360490000006</c:v>
                </c:pt>
                <c:pt idx="31">
                  <c:v>865.54126919999999</c:v>
                </c:pt>
                <c:pt idx="32">
                  <c:v>809.48389550000002</c:v>
                </c:pt>
                <c:pt idx="33">
                  <c:v>803.37622450000003</c:v>
                </c:pt>
                <c:pt idx="34">
                  <c:v>791.73515020000002</c:v>
                </c:pt>
                <c:pt idx="35">
                  <c:v>771.16368920000002</c:v>
                </c:pt>
                <c:pt idx="36">
                  <c:v>764.42901100000006</c:v>
                </c:pt>
                <c:pt idx="37">
                  <c:v>757.50176269999997</c:v>
                </c:pt>
                <c:pt idx="38">
                  <c:v>752.42651509999996</c:v>
                </c:pt>
                <c:pt idx="39">
                  <c:v>747.03303200000005</c:v>
                </c:pt>
                <c:pt idx="40">
                  <c:v>725.66765800000007</c:v>
                </c:pt>
                <c:pt idx="41">
                  <c:v>708.68457509999996</c:v>
                </c:pt>
                <c:pt idx="42">
                  <c:v>698.85441739999999</c:v>
                </c:pt>
                <c:pt idx="43">
                  <c:v>686.55431110000006</c:v>
                </c:pt>
                <c:pt idx="44">
                  <c:v>679.36689419999993</c:v>
                </c:pt>
                <c:pt idx="45">
                  <c:v>668.23560950000001</c:v>
                </c:pt>
                <c:pt idx="46">
                  <c:v>617.36056279999991</c:v>
                </c:pt>
                <c:pt idx="47">
                  <c:v>600.1720593</c:v>
                </c:pt>
                <c:pt idx="48">
                  <c:v>598.80302700000004</c:v>
                </c:pt>
                <c:pt idx="49">
                  <c:v>575.82383129999994</c:v>
                </c:pt>
                <c:pt idx="50">
                  <c:v>571.88079960000005</c:v>
                </c:pt>
                <c:pt idx="51">
                  <c:v>565.79555330000005</c:v>
                </c:pt>
                <c:pt idx="52">
                  <c:v>558.11770120000006</c:v>
                </c:pt>
                <c:pt idx="53">
                  <c:v>526.4972833999999</c:v>
                </c:pt>
                <c:pt idx="54">
                  <c:v>504.8901406</c:v>
                </c:pt>
                <c:pt idx="55">
                  <c:v>499.20487900000001</c:v>
                </c:pt>
                <c:pt idx="56">
                  <c:v>444.9615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1A-4FDE-8828-601D85DDE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45884016"/>
        <c:axId val="2045879216"/>
      </c:barChart>
      <c:lineChart>
        <c:grouping val="standard"/>
        <c:varyColors val="0"/>
        <c:ser>
          <c:idx val="0"/>
          <c:order val="0"/>
          <c:tx>
            <c:strRef>
              <c:f>'High Fat Mass Result'!$C$98</c:f>
              <c:strCache>
                <c:ptCount val="1"/>
                <c:pt idx="0">
                  <c:v>Body length(m)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'High Fat Mass Result'!$B$99:$B$155</c:f>
              <c:strCache>
                <c:ptCount val="57"/>
                <c:pt idx="0">
                  <c:v>Utatsusaurus hataii-245Ma</c:v>
                </c:pt>
                <c:pt idx="1">
                  <c:v>Omphalosaurus wolfi-240Ma</c:v>
                </c:pt>
                <c:pt idx="2">
                  <c:v>Phalarodon atavus-245Ma</c:v>
                </c:pt>
                <c:pt idx="3">
                  <c:v>Mixosaurus cornalianus-240Ma</c:v>
                </c:pt>
                <c:pt idx="4">
                  <c:v>Mixosaurus cornalianus-245Ma</c:v>
                </c:pt>
                <c:pt idx="5">
                  <c:v>Mikadocephalus gracilirostris-240Ma</c:v>
                </c:pt>
                <c:pt idx="6">
                  <c:v>more-Cymbospondylus buchseri-240Ma</c:v>
                </c:pt>
                <c:pt idx="7">
                  <c:v>Besanosaurus leptorhynchus-240Ma</c:v>
                </c:pt>
                <c:pt idx="8">
                  <c:v>Mikadocephalus gracilirostris-245Ma</c:v>
                </c:pt>
                <c:pt idx="9">
                  <c:v>Cymbospondylus buchseri-245Ma</c:v>
                </c:pt>
                <c:pt idx="10">
                  <c:v>Shastasaurus pacificus-235Ma</c:v>
                </c:pt>
                <c:pt idx="11">
                  <c:v>Phalarodon callawayi-240Ma</c:v>
                </c:pt>
                <c:pt idx="12">
                  <c:v>Phalarodon fraasi-245Ma</c:v>
                </c:pt>
                <c:pt idx="13">
                  <c:v>Thaisaurus chonglakmanii-245Ma</c:v>
                </c:pt>
                <c:pt idx="14">
                  <c:v>Cymbospondylus duelferi-240Ma</c:v>
                </c:pt>
                <c:pt idx="15">
                  <c:v>Phalarodon fraasi-240Ma</c:v>
                </c:pt>
                <c:pt idx="16">
                  <c:v>Besanosaurus leptorhynchus-245Ma</c:v>
                </c:pt>
                <c:pt idx="17">
                  <c:v>Callarwayia wolongganagense-230Ma</c:v>
                </c:pt>
                <c:pt idx="18">
                  <c:v>Hudsonelpidia brevirostris-225Ma</c:v>
                </c:pt>
                <c:pt idx="19">
                  <c:v>Shastasaurus tangae-230Ma</c:v>
                </c:pt>
                <c:pt idx="20">
                  <c:v>Callawayia neoscapularis-220Ma</c:v>
                </c:pt>
                <c:pt idx="21">
                  <c:v>Cymbospondylus piscosus-240Ma</c:v>
                </c:pt>
                <c:pt idx="22">
                  <c:v>Cymbospondylus nichollsi-240Ma</c:v>
                </c:pt>
                <c:pt idx="23">
                  <c:v>Macgowania janiceps-220Ma</c:v>
                </c:pt>
                <c:pt idx="24">
                  <c:v>Cymbospondylus nichollsi-245Ma</c:v>
                </c:pt>
                <c:pt idx="25">
                  <c:v>Parvinatator wapitiensis-240Ma</c:v>
                </c:pt>
                <c:pt idx="26">
                  <c:v>Gulosaurus helmi-245Ma</c:v>
                </c:pt>
                <c:pt idx="27">
                  <c:v>Parvinatator wapitiensis-245Ma</c:v>
                </c:pt>
                <c:pt idx="28">
                  <c:v>Hudsonelpidia brevirostris-220Ma</c:v>
                </c:pt>
                <c:pt idx="29">
                  <c:v>Omphalosaurus nevadanus-245Ma</c:v>
                </c:pt>
                <c:pt idx="30">
                  <c:v>Thalattoarchon saurophagis-245Ma</c:v>
                </c:pt>
                <c:pt idx="31">
                  <c:v>Himalayasaurus tibetensis-215Ma</c:v>
                </c:pt>
                <c:pt idx="32">
                  <c:v>Phalarodon callawayi-245Ma</c:v>
                </c:pt>
                <c:pt idx="33">
                  <c:v>Cymbospondylus piscosus-245Ma</c:v>
                </c:pt>
                <c:pt idx="34">
                  <c:v>Himalayasaurus tibetensis-220Ma</c:v>
                </c:pt>
                <c:pt idx="35">
                  <c:v>Californosaurus perrini-230Ma</c:v>
                </c:pt>
                <c:pt idx="36">
                  <c:v>Shonisaurus popularis-230Ma</c:v>
                </c:pt>
                <c:pt idx="37">
                  <c:v>Grippia longirostris-245Ma</c:v>
                </c:pt>
                <c:pt idx="38">
                  <c:v>Toretocnemus californicus-230Ma</c:v>
                </c:pt>
                <c:pt idx="39">
                  <c:v>Cymbospondylus duelferi-245Ma</c:v>
                </c:pt>
                <c:pt idx="40">
                  <c:v>Toretocnemus zitteli-230Ma</c:v>
                </c:pt>
                <c:pt idx="41">
                  <c:v>Shastasaurus sikanniensis-215Ma</c:v>
                </c:pt>
                <c:pt idx="42">
                  <c:v>Shastasaurus pacificus-230Ma</c:v>
                </c:pt>
                <c:pt idx="43">
                  <c:v>Phantomosaurus neubigi-245Ma</c:v>
                </c:pt>
                <c:pt idx="44">
                  <c:v>Xinminosaurus catactes-245Ma</c:v>
                </c:pt>
                <c:pt idx="45">
                  <c:v>Quasianosteosaurus vikinghoegdai-245Ma</c:v>
                </c:pt>
                <c:pt idx="46">
                  <c:v>Chaohusaurus chaoxianensis-245Ma</c:v>
                </c:pt>
                <c:pt idx="47">
                  <c:v>Barracudasauroides panxianensis-245Ma</c:v>
                </c:pt>
                <c:pt idx="48">
                  <c:v>Sclerocormus parviceps-245Ma</c:v>
                </c:pt>
                <c:pt idx="49">
                  <c:v>Chaohusaurus zhangjiawanensis-245Ma</c:v>
                </c:pt>
                <c:pt idx="50">
                  <c:v>Shastasaurus liangae-235Ma</c:v>
                </c:pt>
                <c:pt idx="51">
                  <c:v>Chaohusaurus geishanensis-245Ma</c:v>
                </c:pt>
                <c:pt idx="52">
                  <c:v>Cartorhynchus lenticarpus-245Ma</c:v>
                </c:pt>
                <c:pt idx="53">
                  <c:v>Shastasaurus tangae-235Ma</c:v>
                </c:pt>
                <c:pt idx="54">
                  <c:v>Qianichthyosaurus xingyiensis-235Ma</c:v>
                </c:pt>
                <c:pt idx="55">
                  <c:v>Qianichthyosaurus zhoui-235Ma</c:v>
                </c:pt>
                <c:pt idx="56">
                  <c:v>Callarwayia wolongganagense-235Ma</c:v>
                </c:pt>
              </c:strCache>
            </c:strRef>
          </c:cat>
          <c:val>
            <c:numRef>
              <c:f>'High Fat Mass Result'!$C$99:$C$155</c:f>
              <c:numCache>
                <c:formatCode>General</c:formatCode>
                <c:ptCount val="57"/>
                <c:pt idx="0">
                  <c:v>3</c:v>
                </c:pt>
                <c:pt idx="1">
                  <c:v>1</c:v>
                </c:pt>
                <c:pt idx="2">
                  <c:v>1.5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1.5</c:v>
                </c:pt>
                <c:pt idx="7">
                  <c:v>8</c:v>
                </c:pt>
                <c:pt idx="8">
                  <c:v>3</c:v>
                </c:pt>
                <c:pt idx="9">
                  <c:v>1.5</c:v>
                </c:pt>
                <c:pt idx="10">
                  <c:v>21</c:v>
                </c:pt>
                <c:pt idx="11">
                  <c:v>1.5</c:v>
                </c:pt>
                <c:pt idx="12">
                  <c:v>5</c:v>
                </c:pt>
                <c:pt idx="13">
                  <c:v>2</c:v>
                </c:pt>
                <c:pt idx="14">
                  <c:v>5.5</c:v>
                </c:pt>
                <c:pt idx="15">
                  <c:v>1</c:v>
                </c:pt>
                <c:pt idx="16">
                  <c:v>8</c:v>
                </c:pt>
                <c:pt idx="17">
                  <c:v>3</c:v>
                </c:pt>
                <c:pt idx="18">
                  <c:v>15</c:v>
                </c:pt>
                <c:pt idx="19">
                  <c:v>10</c:v>
                </c:pt>
                <c:pt idx="20">
                  <c:v>2</c:v>
                </c:pt>
                <c:pt idx="21">
                  <c:v>7.6</c:v>
                </c:pt>
                <c:pt idx="22">
                  <c:v>4.3</c:v>
                </c:pt>
                <c:pt idx="23">
                  <c:v>2</c:v>
                </c:pt>
                <c:pt idx="24">
                  <c:v>4.3</c:v>
                </c:pt>
                <c:pt idx="25">
                  <c:v>1</c:v>
                </c:pt>
                <c:pt idx="26">
                  <c:v>18</c:v>
                </c:pt>
                <c:pt idx="27">
                  <c:v>1</c:v>
                </c:pt>
                <c:pt idx="28">
                  <c:v>15</c:v>
                </c:pt>
                <c:pt idx="29">
                  <c:v>3.5</c:v>
                </c:pt>
                <c:pt idx="30">
                  <c:v>8.6</c:v>
                </c:pt>
                <c:pt idx="31">
                  <c:v>1.5</c:v>
                </c:pt>
                <c:pt idx="32">
                  <c:v>1</c:v>
                </c:pt>
                <c:pt idx="33">
                  <c:v>7.6</c:v>
                </c:pt>
                <c:pt idx="34">
                  <c:v>1.5</c:v>
                </c:pt>
                <c:pt idx="35">
                  <c:v>3</c:v>
                </c:pt>
                <c:pt idx="36">
                  <c:v>1.5</c:v>
                </c:pt>
                <c:pt idx="37">
                  <c:v>18</c:v>
                </c:pt>
                <c:pt idx="38">
                  <c:v>1</c:v>
                </c:pt>
                <c:pt idx="39">
                  <c:v>5.5</c:v>
                </c:pt>
                <c:pt idx="40">
                  <c:v>2</c:v>
                </c:pt>
                <c:pt idx="41">
                  <c:v>10</c:v>
                </c:pt>
                <c:pt idx="42">
                  <c:v>7</c:v>
                </c:pt>
                <c:pt idx="43">
                  <c:v>1.3</c:v>
                </c:pt>
                <c:pt idx="44">
                  <c:v>2.2999999999999998</c:v>
                </c:pt>
                <c:pt idx="45">
                  <c:v>1.6</c:v>
                </c:pt>
                <c:pt idx="46">
                  <c:v>1.3</c:v>
                </c:pt>
                <c:pt idx="47">
                  <c:v>1</c:v>
                </c:pt>
                <c:pt idx="48">
                  <c:v>9.25</c:v>
                </c:pt>
                <c:pt idx="49">
                  <c:v>1</c:v>
                </c:pt>
                <c:pt idx="50">
                  <c:v>7</c:v>
                </c:pt>
                <c:pt idx="51">
                  <c:v>1.8</c:v>
                </c:pt>
                <c:pt idx="52">
                  <c:v>0.4</c:v>
                </c:pt>
                <c:pt idx="53">
                  <c:v>15</c:v>
                </c:pt>
                <c:pt idx="54">
                  <c:v>1.5</c:v>
                </c:pt>
                <c:pt idx="55">
                  <c:v>0.5</c:v>
                </c:pt>
                <c:pt idx="5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1A-4FDE-8828-601D85DDECAB}"/>
            </c:ext>
          </c:extLst>
        </c:ser>
        <c:ser>
          <c:idx val="2"/>
          <c:order val="2"/>
          <c:tx>
            <c:strRef>
              <c:f>'High Fat Mass Result'!$H$98</c:f>
              <c:strCache>
                <c:ptCount val="1"/>
                <c:pt idx="0">
                  <c:v>Average completion time (year/Agent)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'High Fat Mass Result'!$B$99:$B$155</c:f>
              <c:strCache>
                <c:ptCount val="57"/>
                <c:pt idx="0">
                  <c:v>Utatsusaurus hataii-245Ma</c:v>
                </c:pt>
                <c:pt idx="1">
                  <c:v>Omphalosaurus wolfi-240Ma</c:v>
                </c:pt>
                <c:pt idx="2">
                  <c:v>Phalarodon atavus-245Ma</c:v>
                </c:pt>
                <c:pt idx="3">
                  <c:v>Mixosaurus cornalianus-240Ma</c:v>
                </c:pt>
                <c:pt idx="4">
                  <c:v>Mixosaurus cornalianus-245Ma</c:v>
                </c:pt>
                <c:pt idx="5">
                  <c:v>Mikadocephalus gracilirostris-240Ma</c:v>
                </c:pt>
                <c:pt idx="6">
                  <c:v>more-Cymbospondylus buchseri-240Ma</c:v>
                </c:pt>
                <c:pt idx="7">
                  <c:v>Besanosaurus leptorhynchus-240Ma</c:v>
                </c:pt>
                <c:pt idx="8">
                  <c:v>Mikadocephalus gracilirostris-245Ma</c:v>
                </c:pt>
                <c:pt idx="9">
                  <c:v>Cymbospondylus buchseri-245Ma</c:v>
                </c:pt>
                <c:pt idx="10">
                  <c:v>Shastasaurus pacificus-235Ma</c:v>
                </c:pt>
                <c:pt idx="11">
                  <c:v>Phalarodon callawayi-240Ma</c:v>
                </c:pt>
                <c:pt idx="12">
                  <c:v>Phalarodon fraasi-245Ma</c:v>
                </c:pt>
                <c:pt idx="13">
                  <c:v>Thaisaurus chonglakmanii-245Ma</c:v>
                </c:pt>
                <c:pt idx="14">
                  <c:v>Cymbospondylus duelferi-240Ma</c:v>
                </c:pt>
                <c:pt idx="15">
                  <c:v>Phalarodon fraasi-240Ma</c:v>
                </c:pt>
                <c:pt idx="16">
                  <c:v>Besanosaurus leptorhynchus-245Ma</c:v>
                </c:pt>
                <c:pt idx="17">
                  <c:v>Callarwayia wolongganagense-230Ma</c:v>
                </c:pt>
                <c:pt idx="18">
                  <c:v>Hudsonelpidia brevirostris-225Ma</c:v>
                </c:pt>
                <c:pt idx="19">
                  <c:v>Shastasaurus tangae-230Ma</c:v>
                </c:pt>
                <c:pt idx="20">
                  <c:v>Callawayia neoscapularis-220Ma</c:v>
                </c:pt>
                <c:pt idx="21">
                  <c:v>Cymbospondylus piscosus-240Ma</c:v>
                </c:pt>
                <c:pt idx="22">
                  <c:v>Cymbospondylus nichollsi-240Ma</c:v>
                </c:pt>
                <c:pt idx="23">
                  <c:v>Macgowania janiceps-220Ma</c:v>
                </c:pt>
                <c:pt idx="24">
                  <c:v>Cymbospondylus nichollsi-245Ma</c:v>
                </c:pt>
                <c:pt idx="25">
                  <c:v>Parvinatator wapitiensis-240Ma</c:v>
                </c:pt>
                <c:pt idx="26">
                  <c:v>Gulosaurus helmi-245Ma</c:v>
                </c:pt>
                <c:pt idx="27">
                  <c:v>Parvinatator wapitiensis-245Ma</c:v>
                </c:pt>
                <c:pt idx="28">
                  <c:v>Hudsonelpidia brevirostris-220Ma</c:v>
                </c:pt>
                <c:pt idx="29">
                  <c:v>Omphalosaurus nevadanus-245Ma</c:v>
                </c:pt>
                <c:pt idx="30">
                  <c:v>Thalattoarchon saurophagis-245Ma</c:v>
                </c:pt>
                <c:pt idx="31">
                  <c:v>Himalayasaurus tibetensis-215Ma</c:v>
                </c:pt>
                <c:pt idx="32">
                  <c:v>Phalarodon callawayi-245Ma</c:v>
                </c:pt>
                <c:pt idx="33">
                  <c:v>Cymbospondylus piscosus-245Ma</c:v>
                </c:pt>
                <c:pt idx="34">
                  <c:v>Himalayasaurus tibetensis-220Ma</c:v>
                </c:pt>
                <c:pt idx="35">
                  <c:v>Californosaurus perrini-230Ma</c:v>
                </c:pt>
                <c:pt idx="36">
                  <c:v>Shonisaurus popularis-230Ma</c:v>
                </c:pt>
                <c:pt idx="37">
                  <c:v>Grippia longirostris-245Ma</c:v>
                </c:pt>
                <c:pt idx="38">
                  <c:v>Toretocnemus californicus-230Ma</c:v>
                </c:pt>
                <c:pt idx="39">
                  <c:v>Cymbospondylus duelferi-245Ma</c:v>
                </c:pt>
                <c:pt idx="40">
                  <c:v>Toretocnemus zitteli-230Ma</c:v>
                </c:pt>
                <c:pt idx="41">
                  <c:v>Shastasaurus sikanniensis-215Ma</c:v>
                </c:pt>
                <c:pt idx="42">
                  <c:v>Shastasaurus pacificus-230Ma</c:v>
                </c:pt>
                <c:pt idx="43">
                  <c:v>Phantomosaurus neubigi-245Ma</c:v>
                </c:pt>
                <c:pt idx="44">
                  <c:v>Xinminosaurus catactes-245Ma</c:v>
                </c:pt>
                <c:pt idx="45">
                  <c:v>Quasianosteosaurus vikinghoegdai-245Ma</c:v>
                </c:pt>
                <c:pt idx="46">
                  <c:v>Chaohusaurus chaoxianensis-245Ma</c:v>
                </c:pt>
                <c:pt idx="47">
                  <c:v>Barracudasauroides panxianensis-245Ma</c:v>
                </c:pt>
                <c:pt idx="48">
                  <c:v>Sclerocormus parviceps-245Ma</c:v>
                </c:pt>
                <c:pt idx="49">
                  <c:v>Chaohusaurus zhangjiawanensis-245Ma</c:v>
                </c:pt>
                <c:pt idx="50">
                  <c:v>Shastasaurus liangae-235Ma</c:v>
                </c:pt>
                <c:pt idx="51">
                  <c:v>Chaohusaurus geishanensis-245Ma</c:v>
                </c:pt>
                <c:pt idx="52">
                  <c:v>Cartorhynchus lenticarpus-245Ma</c:v>
                </c:pt>
                <c:pt idx="53">
                  <c:v>Shastasaurus tangae-235Ma</c:v>
                </c:pt>
                <c:pt idx="54">
                  <c:v>Qianichthyosaurus xingyiensis-235Ma</c:v>
                </c:pt>
                <c:pt idx="55">
                  <c:v>Qianichthyosaurus zhoui-235Ma</c:v>
                </c:pt>
                <c:pt idx="56">
                  <c:v>Callarwayia wolongganagense-235Ma</c:v>
                </c:pt>
              </c:strCache>
            </c:strRef>
          </c:cat>
          <c:val>
            <c:numRef>
              <c:f>'High Fat Mass Result'!$H$99:$H$155</c:f>
              <c:numCache>
                <c:formatCode>0.0_);[Red]\(0.0\)</c:formatCode>
                <c:ptCount val="57"/>
                <c:pt idx="0">
                  <c:v>8.0393238666417268</c:v>
                </c:pt>
                <c:pt idx="1">
                  <c:v>7.8716958836840591</c:v>
                </c:pt>
                <c:pt idx="2">
                  <c:v>13.074327784934804</c:v>
                </c:pt>
                <c:pt idx="3">
                  <c:v>11.215690567802557</c:v>
                </c:pt>
                <c:pt idx="4">
                  <c:v>11.83717881429731</c:v>
                </c:pt>
                <c:pt idx="5">
                  <c:v>10.707976944398307</c:v>
                </c:pt>
                <c:pt idx="6">
                  <c:v>5.9589109009034749</c:v>
                </c:pt>
                <c:pt idx="7">
                  <c:v>4.3597324687650465</c:v>
                </c:pt>
                <c:pt idx="8">
                  <c:v>11.373440884180889</c:v>
                </c:pt>
                <c:pt idx="9">
                  <c:v>6.1636428486243977</c:v>
                </c:pt>
                <c:pt idx="10">
                  <c:v>4.2851651514535449</c:v>
                </c:pt>
                <c:pt idx="11">
                  <c:v>10.625453897092957</c:v>
                </c:pt>
                <c:pt idx="12">
                  <c:v>12.374686198490203</c:v>
                </c:pt>
                <c:pt idx="13">
                  <c:v>12.588518819753315</c:v>
                </c:pt>
                <c:pt idx="14">
                  <c:v>7.0609382645907699</c:v>
                </c:pt>
                <c:pt idx="15">
                  <c:v>13.21509173631147</c:v>
                </c:pt>
                <c:pt idx="16">
                  <c:v>4.3769576222495719</c:v>
                </c:pt>
                <c:pt idx="17">
                  <c:v>11.142231427795741</c:v>
                </c:pt>
                <c:pt idx="18">
                  <c:v>8.573666788238727</c:v>
                </c:pt>
                <c:pt idx="19">
                  <c:v>3.8254109284668787</c:v>
                </c:pt>
                <c:pt idx="20">
                  <c:v>9.3653876008998918</c:v>
                </c:pt>
                <c:pt idx="21">
                  <c:v>3.0481345182009134</c:v>
                </c:pt>
                <c:pt idx="22">
                  <c:v>5.0149295393334761</c:v>
                </c:pt>
                <c:pt idx="23">
                  <c:v>7.308952726297977</c:v>
                </c:pt>
                <c:pt idx="24">
                  <c:v>5.0857838887670761</c:v>
                </c:pt>
                <c:pt idx="25">
                  <c:v>15.313831836725599</c:v>
                </c:pt>
                <c:pt idx="26">
                  <c:v>11.852709315028427</c:v>
                </c:pt>
                <c:pt idx="27">
                  <c:v>15.588088001067446</c:v>
                </c:pt>
                <c:pt idx="28">
                  <c:v>9.0286654063003393</c:v>
                </c:pt>
                <c:pt idx="29">
                  <c:v>7.9300759186618466</c:v>
                </c:pt>
                <c:pt idx="30">
                  <c:v>4.6961461966102549</c:v>
                </c:pt>
                <c:pt idx="31">
                  <c:v>3.4120031477158643</c:v>
                </c:pt>
                <c:pt idx="32">
                  <c:v>10.879097558282059</c:v>
                </c:pt>
                <c:pt idx="33">
                  <c:v>3.0388249742603533</c:v>
                </c:pt>
                <c:pt idx="34">
                  <c:v>3.4001147062942354</c:v>
                </c:pt>
                <c:pt idx="35">
                  <c:v>7.0896595800774982</c:v>
                </c:pt>
                <c:pt idx="36">
                  <c:v>3.0239993173453037</c:v>
                </c:pt>
                <c:pt idx="37">
                  <c:v>11.356999319480817</c:v>
                </c:pt>
                <c:pt idx="38">
                  <c:v>9.1773313831179131</c:v>
                </c:pt>
                <c:pt idx="39">
                  <c:v>6.9814726049496132</c:v>
                </c:pt>
                <c:pt idx="40">
                  <c:v>9.0734892638426725</c:v>
                </c:pt>
                <c:pt idx="41">
                  <c:v>2.5068804562867042</c:v>
                </c:pt>
                <c:pt idx="42">
                  <c:v>4.7664238488844175</c:v>
                </c:pt>
                <c:pt idx="43">
                  <c:v>5.5084820059512616</c:v>
                </c:pt>
                <c:pt idx="44">
                  <c:v>8.2687485309519921</c:v>
                </c:pt>
                <c:pt idx="45">
                  <c:v>21.21527115116389</c:v>
                </c:pt>
                <c:pt idx="46">
                  <c:v>12.180405363590006</c:v>
                </c:pt>
                <c:pt idx="47">
                  <c:v>11.776160333668079</c:v>
                </c:pt>
                <c:pt idx="48">
                  <c:v>11.824728240852817</c:v>
                </c:pt>
                <c:pt idx="49">
                  <c:v>13.78246214334505</c:v>
                </c:pt>
                <c:pt idx="50">
                  <c:v>3.9554753574598234</c:v>
                </c:pt>
                <c:pt idx="51">
                  <c:v>10.076921981460204</c:v>
                </c:pt>
                <c:pt idx="52">
                  <c:v>20.508994493396674</c:v>
                </c:pt>
                <c:pt idx="53">
                  <c:v>3.6613397219806094</c:v>
                </c:pt>
                <c:pt idx="54">
                  <c:v>9.207408306358813</c:v>
                </c:pt>
                <c:pt idx="55">
                  <c:v>9.3340591670510058</c:v>
                </c:pt>
                <c:pt idx="56">
                  <c:v>9.0073474473860031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1A-4FDE-8828-601D85DDE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5795600"/>
        <c:axId val="1985792240"/>
      </c:lineChart>
      <c:catAx>
        <c:axId val="204588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5879216"/>
        <c:crosses val="autoZero"/>
        <c:auto val="1"/>
        <c:lblAlgn val="ctr"/>
        <c:lblOffset val="100"/>
        <c:noMultiLvlLbl val="0"/>
      </c:catAx>
      <c:valAx>
        <c:axId val="204587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5884016"/>
        <c:crosses val="autoZero"/>
        <c:crossBetween val="between"/>
      </c:valAx>
      <c:valAx>
        <c:axId val="19857922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5795600"/>
        <c:crosses val="max"/>
        <c:crossBetween val="between"/>
      </c:valAx>
      <c:catAx>
        <c:axId val="19857956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857922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535110654354386E-2"/>
          <c:y val="3.172226576402791E-2"/>
          <c:w val="0.96175579971889313"/>
          <c:h val="0.67064739451335886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'High Fat Mass Result'!$B$157:$B$190</c:f>
              <c:strCache>
                <c:ptCount val="34"/>
                <c:pt idx="0">
                  <c:v>Cyamodus hildegardis-245Ma</c:v>
                </c:pt>
                <c:pt idx="1">
                  <c:v>Paraplacodus broilli-245Ma</c:v>
                </c:pt>
                <c:pt idx="2">
                  <c:v>Helveticosaurus zollingeri-240Ma</c:v>
                </c:pt>
                <c:pt idx="3">
                  <c:v>Cyamodus kuhnschnyderi-240Ma</c:v>
                </c:pt>
                <c:pt idx="4">
                  <c:v>Cyamodus rostratus-240Ma</c:v>
                </c:pt>
                <c:pt idx="5">
                  <c:v>Eusaurosphargis dalsassoi-245Ma</c:v>
                </c:pt>
                <c:pt idx="6">
                  <c:v>Cyamodus muensteri-240Ma</c:v>
                </c:pt>
                <c:pt idx="7">
                  <c:v>Helveticosaurus zollingeri-245Ma</c:v>
                </c:pt>
                <c:pt idx="8">
                  <c:v>Henodus chelyops-240Ma</c:v>
                </c:pt>
                <c:pt idx="9">
                  <c:v>Placochelys placodonta-240Ma</c:v>
                </c:pt>
                <c:pt idx="10">
                  <c:v>Psephosauriscus rhombifer-240Ma</c:v>
                </c:pt>
                <c:pt idx="11">
                  <c:v>Placodus gigas-240Ma</c:v>
                </c:pt>
                <c:pt idx="12">
                  <c:v>Psephosauriscus mosis-245Ma</c:v>
                </c:pt>
                <c:pt idx="13">
                  <c:v>Psephosauriscus sinaiticus-245Ma</c:v>
                </c:pt>
                <c:pt idx="14">
                  <c:v>Psephosauriscus ramonensis-245Ma</c:v>
                </c:pt>
                <c:pt idx="15">
                  <c:v>Psephoderma alpinum-215Ma</c:v>
                </c:pt>
                <c:pt idx="16">
                  <c:v>Henodus chelyops-235Ma</c:v>
                </c:pt>
                <c:pt idx="17">
                  <c:v>Psephoderma alpinum-210Ma</c:v>
                </c:pt>
                <c:pt idx="18">
                  <c:v>Atopodentatus unicus-245Ma</c:v>
                </c:pt>
                <c:pt idx="19">
                  <c:v>Glyphoderma kangi-240Ma</c:v>
                </c:pt>
                <c:pt idx="20">
                  <c:v>Pararcus diepenbroek-240Ma</c:v>
                </c:pt>
                <c:pt idx="21">
                  <c:v>Placodus inexpectatus-245Ma</c:v>
                </c:pt>
                <c:pt idx="22">
                  <c:v>Psephoderma alpinum-20Ma5Ma</c:v>
                </c:pt>
                <c:pt idx="23">
                  <c:v>Placochelys placodonta-235Ma</c:v>
                </c:pt>
                <c:pt idx="24">
                  <c:v>Macroplacus raeticus-20Ma5Ma</c:v>
                </c:pt>
                <c:pt idx="25">
                  <c:v>Cyamodus muensteri-245Ma</c:v>
                </c:pt>
                <c:pt idx="26">
                  <c:v>Cyamodus rostratus-245Ma</c:v>
                </c:pt>
                <c:pt idx="27">
                  <c:v>Placodus gigas-245Ma</c:v>
                </c:pt>
                <c:pt idx="28">
                  <c:v>Pararcus diepenbroek-245Ma</c:v>
                </c:pt>
                <c:pt idx="29">
                  <c:v>Sinocyamodus xinpuensis-235Ma</c:v>
                </c:pt>
                <c:pt idx="30">
                  <c:v>Psephochelys polyosteoderma-235Ma</c:v>
                </c:pt>
                <c:pt idx="31">
                  <c:v>Palatodonta bleekeri--245Ma</c:v>
                </c:pt>
                <c:pt idx="32">
                  <c:v>Glyphoderma kangi-235Ma</c:v>
                </c:pt>
                <c:pt idx="33">
                  <c:v>Cyamodus orientalis-235Ma</c:v>
                </c:pt>
              </c:strCache>
            </c:strRef>
          </c:cat>
          <c:val>
            <c:numRef>
              <c:f>'High Fat Mass Result'!$G$157:$G$190</c:f>
              <c:numCache>
                <c:formatCode>General</c:formatCode>
                <c:ptCount val="34"/>
                <c:pt idx="0">
                  <c:v>3017.0637867</c:v>
                </c:pt>
                <c:pt idx="1">
                  <c:v>2924.7167039999999</c:v>
                </c:pt>
                <c:pt idx="2">
                  <c:v>2865.0747842999999</c:v>
                </c:pt>
                <c:pt idx="3">
                  <c:v>2800.9070231999999</c:v>
                </c:pt>
                <c:pt idx="4">
                  <c:v>2743.1247969000001</c:v>
                </c:pt>
                <c:pt idx="5">
                  <c:v>2666.2799583999999</c:v>
                </c:pt>
                <c:pt idx="6">
                  <c:v>2650.4860431000002</c:v>
                </c:pt>
                <c:pt idx="7">
                  <c:v>1964.0153969999999</c:v>
                </c:pt>
                <c:pt idx="8">
                  <c:v>1925.9333647000001</c:v>
                </c:pt>
                <c:pt idx="9">
                  <c:v>1846.0535262999999</c:v>
                </c:pt>
                <c:pt idx="10">
                  <c:v>1318.0415301</c:v>
                </c:pt>
                <c:pt idx="11">
                  <c:v>1245.4333755</c:v>
                </c:pt>
                <c:pt idx="12">
                  <c:v>1150.5940009000001</c:v>
                </c:pt>
                <c:pt idx="13">
                  <c:v>1145.3294767</c:v>
                </c:pt>
                <c:pt idx="14">
                  <c:v>1112.7994615</c:v>
                </c:pt>
                <c:pt idx="15">
                  <c:v>786.58355779999999</c:v>
                </c:pt>
                <c:pt idx="16">
                  <c:v>766.18853179999996</c:v>
                </c:pt>
                <c:pt idx="17">
                  <c:v>761.38615419999996</c:v>
                </c:pt>
                <c:pt idx="18">
                  <c:v>758.5894841999999</c:v>
                </c:pt>
                <c:pt idx="19">
                  <c:v>749.35354929999994</c:v>
                </c:pt>
                <c:pt idx="20">
                  <c:v>727.50164930000005</c:v>
                </c:pt>
                <c:pt idx="21">
                  <c:v>708.11387049999996</c:v>
                </c:pt>
                <c:pt idx="22">
                  <c:v>679.06944399999998</c:v>
                </c:pt>
                <c:pt idx="23">
                  <c:v>662.86155070000007</c:v>
                </c:pt>
                <c:pt idx="24">
                  <c:v>622.16922820000002</c:v>
                </c:pt>
                <c:pt idx="25">
                  <c:v>603.80832659999999</c:v>
                </c:pt>
                <c:pt idx="26">
                  <c:v>569.10134119999998</c:v>
                </c:pt>
                <c:pt idx="27">
                  <c:v>558.17817520000006</c:v>
                </c:pt>
                <c:pt idx="28">
                  <c:v>492.48943589999999</c:v>
                </c:pt>
                <c:pt idx="29">
                  <c:v>470.20281599999998</c:v>
                </c:pt>
                <c:pt idx="30">
                  <c:v>467.85681790000001</c:v>
                </c:pt>
                <c:pt idx="31">
                  <c:v>458.5712542</c:v>
                </c:pt>
                <c:pt idx="32">
                  <c:v>443.5464849</c:v>
                </c:pt>
                <c:pt idx="33">
                  <c:v>436.75359650000001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0E-41BA-BDE6-462D231EE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9869071"/>
        <c:axId val="269886831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'High Fat Mass Result'!$B$157:$B$190</c:f>
              <c:strCache>
                <c:ptCount val="34"/>
                <c:pt idx="0">
                  <c:v>Cyamodus hildegardis-245Ma</c:v>
                </c:pt>
                <c:pt idx="1">
                  <c:v>Paraplacodus broilli-245Ma</c:v>
                </c:pt>
                <c:pt idx="2">
                  <c:v>Helveticosaurus zollingeri-240Ma</c:v>
                </c:pt>
                <c:pt idx="3">
                  <c:v>Cyamodus kuhnschnyderi-240Ma</c:v>
                </c:pt>
                <c:pt idx="4">
                  <c:v>Cyamodus rostratus-240Ma</c:v>
                </c:pt>
                <c:pt idx="5">
                  <c:v>Eusaurosphargis dalsassoi-245Ma</c:v>
                </c:pt>
                <c:pt idx="6">
                  <c:v>Cyamodus muensteri-240Ma</c:v>
                </c:pt>
                <c:pt idx="7">
                  <c:v>Helveticosaurus zollingeri-245Ma</c:v>
                </c:pt>
                <c:pt idx="8">
                  <c:v>Henodus chelyops-240Ma</c:v>
                </c:pt>
                <c:pt idx="9">
                  <c:v>Placochelys placodonta-240Ma</c:v>
                </c:pt>
                <c:pt idx="10">
                  <c:v>Psephosauriscus rhombifer-240Ma</c:v>
                </c:pt>
                <c:pt idx="11">
                  <c:v>Placodus gigas-240Ma</c:v>
                </c:pt>
                <c:pt idx="12">
                  <c:v>Psephosauriscus mosis-245Ma</c:v>
                </c:pt>
                <c:pt idx="13">
                  <c:v>Psephosauriscus sinaiticus-245Ma</c:v>
                </c:pt>
                <c:pt idx="14">
                  <c:v>Psephosauriscus ramonensis-245Ma</c:v>
                </c:pt>
                <c:pt idx="15">
                  <c:v>Psephoderma alpinum-215Ma</c:v>
                </c:pt>
                <c:pt idx="16">
                  <c:v>Henodus chelyops-235Ma</c:v>
                </c:pt>
                <c:pt idx="17">
                  <c:v>Psephoderma alpinum-210Ma</c:v>
                </c:pt>
                <c:pt idx="18">
                  <c:v>Atopodentatus unicus-245Ma</c:v>
                </c:pt>
                <c:pt idx="19">
                  <c:v>Glyphoderma kangi-240Ma</c:v>
                </c:pt>
                <c:pt idx="20">
                  <c:v>Pararcus diepenbroek-240Ma</c:v>
                </c:pt>
                <c:pt idx="21">
                  <c:v>Placodus inexpectatus-245Ma</c:v>
                </c:pt>
                <c:pt idx="22">
                  <c:v>Psephoderma alpinum-20Ma5Ma</c:v>
                </c:pt>
                <c:pt idx="23">
                  <c:v>Placochelys placodonta-235Ma</c:v>
                </c:pt>
                <c:pt idx="24">
                  <c:v>Macroplacus raeticus-20Ma5Ma</c:v>
                </c:pt>
                <c:pt idx="25">
                  <c:v>Cyamodus muensteri-245Ma</c:v>
                </c:pt>
                <c:pt idx="26">
                  <c:v>Cyamodus rostratus-245Ma</c:v>
                </c:pt>
                <c:pt idx="27">
                  <c:v>Placodus gigas-245Ma</c:v>
                </c:pt>
                <c:pt idx="28">
                  <c:v>Pararcus diepenbroek-245Ma</c:v>
                </c:pt>
                <c:pt idx="29">
                  <c:v>Sinocyamodus xinpuensis-235Ma</c:v>
                </c:pt>
                <c:pt idx="30">
                  <c:v>Psephochelys polyosteoderma-235Ma</c:v>
                </c:pt>
                <c:pt idx="31">
                  <c:v>Palatodonta bleekeri--245Ma</c:v>
                </c:pt>
                <c:pt idx="32">
                  <c:v>Glyphoderma kangi-235Ma</c:v>
                </c:pt>
                <c:pt idx="33">
                  <c:v>Cyamodus orientalis-235Ma</c:v>
                </c:pt>
              </c:strCache>
            </c:strRef>
          </c:cat>
          <c:val>
            <c:numRef>
              <c:f>'High Fat Mass Result'!$C$157:$C$190</c:f>
              <c:numCache>
                <c:formatCode>General</c:formatCode>
                <c:ptCount val="34"/>
                <c:pt idx="0">
                  <c:v>1.5</c:v>
                </c:pt>
                <c:pt idx="1">
                  <c:v>1.5</c:v>
                </c:pt>
                <c:pt idx="2">
                  <c:v>3.6</c:v>
                </c:pt>
                <c:pt idx="3">
                  <c:v>1.5</c:v>
                </c:pt>
                <c:pt idx="4">
                  <c:v>1.3</c:v>
                </c:pt>
                <c:pt idx="5">
                  <c:v>0.2</c:v>
                </c:pt>
                <c:pt idx="6">
                  <c:v>1.3</c:v>
                </c:pt>
                <c:pt idx="7">
                  <c:v>3.6</c:v>
                </c:pt>
                <c:pt idx="8">
                  <c:v>1</c:v>
                </c:pt>
                <c:pt idx="9">
                  <c:v>0.95</c:v>
                </c:pt>
                <c:pt idx="10">
                  <c:v>1.3</c:v>
                </c:pt>
                <c:pt idx="11">
                  <c:v>2</c:v>
                </c:pt>
                <c:pt idx="12">
                  <c:v>1.2</c:v>
                </c:pt>
                <c:pt idx="13">
                  <c:v>1.2</c:v>
                </c:pt>
                <c:pt idx="14">
                  <c:v>1.3</c:v>
                </c:pt>
                <c:pt idx="15">
                  <c:v>1.25</c:v>
                </c:pt>
                <c:pt idx="16">
                  <c:v>1</c:v>
                </c:pt>
                <c:pt idx="17">
                  <c:v>1.25</c:v>
                </c:pt>
                <c:pt idx="18">
                  <c:v>3</c:v>
                </c:pt>
                <c:pt idx="19">
                  <c:v>0.95</c:v>
                </c:pt>
                <c:pt idx="20">
                  <c:v>1.5</c:v>
                </c:pt>
                <c:pt idx="21">
                  <c:v>2.5</c:v>
                </c:pt>
                <c:pt idx="22">
                  <c:v>1.25</c:v>
                </c:pt>
                <c:pt idx="23">
                  <c:v>0.95</c:v>
                </c:pt>
                <c:pt idx="24">
                  <c:v>1</c:v>
                </c:pt>
                <c:pt idx="25">
                  <c:v>1.3</c:v>
                </c:pt>
                <c:pt idx="26">
                  <c:v>1.3</c:v>
                </c:pt>
                <c:pt idx="27">
                  <c:v>2</c:v>
                </c:pt>
                <c:pt idx="28">
                  <c:v>1.5</c:v>
                </c:pt>
                <c:pt idx="29">
                  <c:v>1</c:v>
                </c:pt>
                <c:pt idx="30">
                  <c:v>1</c:v>
                </c:pt>
                <c:pt idx="31">
                  <c:v>1.5</c:v>
                </c:pt>
                <c:pt idx="32">
                  <c:v>0.95</c:v>
                </c:pt>
                <c:pt idx="33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0E-41BA-BDE6-462D231EEC5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'High Fat Mass Result'!$B$157:$B$190</c:f>
              <c:strCache>
                <c:ptCount val="34"/>
                <c:pt idx="0">
                  <c:v>Cyamodus hildegardis-245Ma</c:v>
                </c:pt>
                <c:pt idx="1">
                  <c:v>Paraplacodus broilli-245Ma</c:v>
                </c:pt>
                <c:pt idx="2">
                  <c:v>Helveticosaurus zollingeri-240Ma</c:v>
                </c:pt>
                <c:pt idx="3">
                  <c:v>Cyamodus kuhnschnyderi-240Ma</c:v>
                </c:pt>
                <c:pt idx="4">
                  <c:v>Cyamodus rostratus-240Ma</c:v>
                </c:pt>
                <c:pt idx="5">
                  <c:v>Eusaurosphargis dalsassoi-245Ma</c:v>
                </c:pt>
                <c:pt idx="6">
                  <c:v>Cyamodus muensteri-240Ma</c:v>
                </c:pt>
                <c:pt idx="7">
                  <c:v>Helveticosaurus zollingeri-245Ma</c:v>
                </c:pt>
                <c:pt idx="8">
                  <c:v>Henodus chelyops-240Ma</c:v>
                </c:pt>
                <c:pt idx="9">
                  <c:v>Placochelys placodonta-240Ma</c:v>
                </c:pt>
                <c:pt idx="10">
                  <c:v>Psephosauriscus rhombifer-240Ma</c:v>
                </c:pt>
                <c:pt idx="11">
                  <c:v>Placodus gigas-240Ma</c:v>
                </c:pt>
                <c:pt idx="12">
                  <c:v>Psephosauriscus mosis-245Ma</c:v>
                </c:pt>
                <c:pt idx="13">
                  <c:v>Psephosauriscus sinaiticus-245Ma</c:v>
                </c:pt>
                <c:pt idx="14">
                  <c:v>Psephosauriscus ramonensis-245Ma</c:v>
                </c:pt>
                <c:pt idx="15">
                  <c:v>Psephoderma alpinum-215Ma</c:v>
                </c:pt>
                <c:pt idx="16">
                  <c:v>Henodus chelyops-235Ma</c:v>
                </c:pt>
                <c:pt idx="17">
                  <c:v>Psephoderma alpinum-210Ma</c:v>
                </c:pt>
                <c:pt idx="18">
                  <c:v>Atopodentatus unicus-245Ma</c:v>
                </c:pt>
                <c:pt idx="19">
                  <c:v>Glyphoderma kangi-240Ma</c:v>
                </c:pt>
                <c:pt idx="20">
                  <c:v>Pararcus diepenbroek-240Ma</c:v>
                </c:pt>
                <c:pt idx="21">
                  <c:v>Placodus inexpectatus-245Ma</c:v>
                </c:pt>
                <c:pt idx="22">
                  <c:v>Psephoderma alpinum-20Ma5Ma</c:v>
                </c:pt>
                <c:pt idx="23">
                  <c:v>Placochelys placodonta-235Ma</c:v>
                </c:pt>
                <c:pt idx="24">
                  <c:v>Macroplacus raeticus-20Ma5Ma</c:v>
                </c:pt>
                <c:pt idx="25">
                  <c:v>Cyamodus muensteri-245Ma</c:v>
                </c:pt>
                <c:pt idx="26">
                  <c:v>Cyamodus rostratus-245Ma</c:v>
                </c:pt>
                <c:pt idx="27">
                  <c:v>Placodus gigas-245Ma</c:v>
                </c:pt>
                <c:pt idx="28">
                  <c:v>Pararcus diepenbroek-245Ma</c:v>
                </c:pt>
                <c:pt idx="29">
                  <c:v>Sinocyamodus xinpuensis-235Ma</c:v>
                </c:pt>
                <c:pt idx="30">
                  <c:v>Psephochelys polyosteoderma-235Ma</c:v>
                </c:pt>
                <c:pt idx="31">
                  <c:v>Palatodonta bleekeri--245Ma</c:v>
                </c:pt>
                <c:pt idx="32">
                  <c:v>Glyphoderma kangi-235Ma</c:v>
                </c:pt>
                <c:pt idx="33">
                  <c:v>Cyamodus orientalis-235Ma</c:v>
                </c:pt>
              </c:strCache>
            </c:strRef>
          </c:cat>
          <c:val>
            <c:numRef>
              <c:f>'High Fat Mass Result'!$H$157:$H$190</c:f>
              <c:numCache>
                <c:formatCode>0.0_);[Red]\(0.0\)</c:formatCode>
                <c:ptCount val="34"/>
                <c:pt idx="0">
                  <c:v>10.138366351298499</c:v>
                </c:pt>
                <c:pt idx="1">
                  <c:v>11.309090067052272</c:v>
                </c:pt>
                <c:pt idx="2">
                  <c:v>6.2387817004103727</c:v>
                </c:pt>
                <c:pt idx="3">
                  <c:v>9.7749409630479605</c:v>
                </c:pt>
                <c:pt idx="4">
                  <c:v>10.617857666965563</c:v>
                </c:pt>
                <c:pt idx="5">
                  <c:v>16.194478762593878</c:v>
                </c:pt>
                <c:pt idx="6">
                  <c:v>10.61997223987102</c:v>
                </c:pt>
                <c:pt idx="7">
                  <c:v>6.2669796031851375</c:v>
                </c:pt>
                <c:pt idx="8">
                  <c:v>8.9479657766443115</c:v>
                </c:pt>
                <c:pt idx="9">
                  <c:v>11.90794165651652</c:v>
                </c:pt>
                <c:pt idx="10">
                  <c:v>8.7364997806164695</c:v>
                </c:pt>
                <c:pt idx="11">
                  <c:v>8.8779309235823334</c:v>
                </c:pt>
                <c:pt idx="12">
                  <c:v>12.206088219472587</c:v>
                </c:pt>
                <c:pt idx="13">
                  <c:v>10.816706169267741</c:v>
                </c:pt>
                <c:pt idx="14">
                  <c:v>11.451540448278775</c:v>
                </c:pt>
                <c:pt idx="15">
                  <c:v>8.7719768609968281</c:v>
                </c:pt>
                <c:pt idx="16">
                  <c:v>8.5530296466449141</c:v>
                </c:pt>
                <c:pt idx="17">
                  <c:v>8.6983749563475072</c:v>
                </c:pt>
                <c:pt idx="18">
                  <c:v>7.9296515006854387</c:v>
                </c:pt>
                <c:pt idx="19">
                  <c:v>13.515920770573551</c:v>
                </c:pt>
                <c:pt idx="20">
                  <c:v>9.953950157767915</c:v>
                </c:pt>
                <c:pt idx="21">
                  <c:v>7.5410923899271616</c:v>
                </c:pt>
                <c:pt idx="22">
                  <c:v>8.5371717750203899</c:v>
                </c:pt>
                <c:pt idx="23">
                  <c:v>11.195860712716467</c:v>
                </c:pt>
                <c:pt idx="24">
                  <c:v>11.788426589340277</c:v>
                </c:pt>
                <c:pt idx="25">
                  <c:v>9.2190851836263636</c:v>
                </c:pt>
                <c:pt idx="26">
                  <c:v>8.8738450741373356</c:v>
                </c:pt>
                <c:pt idx="27">
                  <c:v>8.9196918847017059</c:v>
                </c:pt>
                <c:pt idx="28">
                  <c:v>9.4811943578663431</c:v>
                </c:pt>
                <c:pt idx="29">
                  <c:v>9.8777041578820075</c:v>
                </c:pt>
                <c:pt idx="30">
                  <c:v>10.080896410750317</c:v>
                </c:pt>
                <c:pt idx="31">
                  <c:v>9.782226575507833</c:v>
                </c:pt>
                <c:pt idx="32">
                  <c:v>11.095431880073027</c:v>
                </c:pt>
                <c:pt idx="33">
                  <c:v>8.4869454528850525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0E-41BA-BDE6-462D231EE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9680783"/>
        <c:axId val="509675983"/>
      </c:lineChart>
      <c:catAx>
        <c:axId val="26986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9886831"/>
        <c:crosses val="autoZero"/>
        <c:auto val="1"/>
        <c:lblAlgn val="ctr"/>
        <c:lblOffset val="100"/>
        <c:noMultiLvlLbl val="0"/>
      </c:catAx>
      <c:valAx>
        <c:axId val="26988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9869071"/>
        <c:crosses val="autoZero"/>
        <c:crossBetween val="between"/>
      </c:valAx>
      <c:valAx>
        <c:axId val="50967598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9680783"/>
        <c:crosses val="max"/>
        <c:crossBetween val="between"/>
      </c:valAx>
      <c:catAx>
        <c:axId val="5096807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96759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altLang="zh-CN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/>
                <a:ea typeface="宋体" panose="02010600030101010101" pitchFamily="2" charset="-122"/>
              </a:rPr>
              <a:t>Average annual migration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7379255768454976"/>
          <c:y val="0.10893923636903878"/>
          <c:w val="0.66372759739376552"/>
          <c:h val="0.77091388104788783"/>
        </c:manualLayout>
      </c:layout>
      <c:radarChart>
        <c:radarStyle val="marker"/>
        <c:varyColors val="0"/>
        <c:ser>
          <c:idx val="0"/>
          <c:order val="0"/>
          <c:tx>
            <c:strRef>
              <c:f>'Low Fat Mass Results'!$I$3</c:f>
              <c:strCache>
                <c:ptCount val="1"/>
                <c:pt idx="0">
                  <c:v>Average annual migration distance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'Low Fat Mass Results'!$B$4:$B$60</c:f>
              <c:strCache>
                <c:ptCount val="57"/>
                <c:pt idx="0">
                  <c:v>Utatsusaurus hataii-245Ma</c:v>
                </c:pt>
                <c:pt idx="1">
                  <c:v>Shastasaurus pacificus-235Ma</c:v>
                </c:pt>
                <c:pt idx="2">
                  <c:v>Omphalosaurus wolfi-240Ma</c:v>
                </c:pt>
                <c:pt idx="3">
                  <c:v>Cymbospondylus nichollsi-240Ma.xlsx</c:v>
                </c:pt>
                <c:pt idx="4">
                  <c:v>Cymbospondylus duelferi-240Ma</c:v>
                </c:pt>
                <c:pt idx="5">
                  <c:v>Mixosaurus cornalianus-245Ma</c:v>
                </c:pt>
                <c:pt idx="6">
                  <c:v>Cymbospondylus piscosus-240Ma</c:v>
                </c:pt>
                <c:pt idx="7">
                  <c:v>Mikadocephalus gracilirostris-245Ma</c:v>
                </c:pt>
                <c:pt idx="8">
                  <c:v>Cymbospondylus buchseri-240Ma</c:v>
                </c:pt>
                <c:pt idx="9">
                  <c:v>Cymbospondylus buchseri-245Ma</c:v>
                </c:pt>
                <c:pt idx="10">
                  <c:v>Cymbospondylus piscosus-245Ma</c:v>
                </c:pt>
                <c:pt idx="11">
                  <c:v>Thalattoarchon saurophagis-245Ma</c:v>
                </c:pt>
                <c:pt idx="12">
                  <c:v>Besanosaurus leptorhynchus-240Ma</c:v>
                </c:pt>
                <c:pt idx="13">
                  <c:v>Himalayasaurus tibetensis-220Ma</c:v>
                </c:pt>
                <c:pt idx="14">
                  <c:v>Mikadocephalus gracilirostris-240Ma</c:v>
                </c:pt>
                <c:pt idx="15">
                  <c:v>Phalarodon atavus-245Ma</c:v>
                </c:pt>
                <c:pt idx="16">
                  <c:v>Mixosaurus cornalianus-240Ma</c:v>
                </c:pt>
                <c:pt idx="17">
                  <c:v>Cymbospondylus nichollsi-245Ma</c:v>
                </c:pt>
                <c:pt idx="18">
                  <c:v>Shonisaurus popularis-230Ma</c:v>
                </c:pt>
                <c:pt idx="19">
                  <c:v>Besanosaurus leptorhynchus-245Ma</c:v>
                </c:pt>
                <c:pt idx="20">
                  <c:v>Macgowania janiceps-220Ma</c:v>
                </c:pt>
                <c:pt idx="21">
                  <c:v>Himalayasaurus tibetensis-215Ma</c:v>
                </c:pt>
                <c:pt idx="22">
                  <c:v>Shastasaurus tangae-230Ma</c:v>
                </c:pt>
                <c:pt idx="23">
                  <c:v>Shastasaurus pacificus-230Ma</c:v>
                </c:pt>
                <c:pt idx="24">
                  <c:v>Phalarodon callawayi-240Ma</c:v>
                </c:pt>
                <c:pt idx="25">
                  <c:v>Phalarodon fraasi-245Ma</c:v>
                </c:pt>
                <c:pt idx="26">
                  <c:v>Omphalosaurus nevadanus-245Ma</c:v>
                </c:pt>
                <c:pt idx="27">
                  <c:v>Cymbospondylus duelferi-245Ma</c:v>
                </c:pt>
                <c:pt idx="28">
                  <c:v>Thaisaurus chonglakmanii-245Ma</c:v>
                </c:pt>
                <c:pt idx="29">
                  <c:v>Parvinatator wapitiensis-245Ma</c:v>
                </c:pt>
                <c:pt idx="30">
                  <c:v>Phalarodon fraasi-240Ma</c:v>
                </c:pt>
                <c:pt idx="31">
                  <c:v>Callarwayia wolongganagense-230Ma</c:v>
                </c:pt>
                <c:pt idx="32">
                  <c:v>Hudsonelpidia brevirostris-225Ma</c:v>
                </c:pt>
                <c:pt idx="33">
                  <c:v>Gulosaurus helmi-245Ma</c:v>
                </c:pt>
                <c:pt idx="34">
                  <c:v>Parvinatator wapitiensis-240Ma</c:v>
                </c:pt>
                <c:pt idx="35">
                  <c:v>Shastasaurus sikanniensis-215Ma</c:v>
                </c:pt>
                <c:pt idx="36">
                  <c:v>Hudsonelpidia brevirostris-220Ma</c:v>
                </c:pt>
                <c:pt idx="37">
                  <c:v>Californosaurus perrini-230Ma</c:v>
                </c:pt>
                <c:pt idx="38">
                  <c:v>Callawayia neoscapularis-220Ma</c:v>
                </c:pt>
                <c:pt idx="39">
                  <c:v>Phantomosaurus neubigi-245Ma</c:v>
                </c:pt>
                <c:pt idx="40">
                  <c:v>Grippia longirostris-245Ma</c:v>
                </c:pt>
                <c:pt idx="41">
                  <c:v>Toretocnemus californicus-230Ma</c:v>
                </c:pt>
                <c:pt idx="42">
                  <c:v>Phalarodon callawayi-245Ma</c:v>
                </c:pt>
                <c:pt idx="43">
                  <c:v>Toretocnemus zitteli-230Ma</c:v>
                </c:pt>
                <c:pt idx="44">
                  <c:v>Shastasaurus liangae-235Ma</c:v>
                </c:pt>
                <c:pt idx="45">
                  <c:v>Xinminosaurus catactes-245Ma</c:v>
                </c:pt>
                <c:pt idx="46">
                  <c:v>Shastasaurus tangae-235Ma</c:v>
                </c:pt>
                <c:pt idx="47">
                  <c:v>Quasianosteosaurus vikinghoegdai-245Ma</c:v>
                </c:pt>
                <c:pt idx="48">
                  <c:v>Chaohusaurus geishanensis-245Ma</c:v>
                </c:pt>
                <c:pt idx="49">
                  <c:v>Chaohusaurus zhangjiawanensis-245Ma</c:v>
                </c:pt>
                <c:pt idx="50">
                  <c:v>Sclerocormus parviceps-245Ma</c:v>
                </c:pt>
                <c:pt idx="51">
                  <c:v>Chaohusaurus chaoxianensis-245Ma</c:v>
                </c:pt>
                <c:pt idx="52">
                  <c:v>Barracudasauroides panxianensis-245Ma</c:v>
                </c:pt>
                <c:pt idx="53">
                  <c:v>Cartorhynchus lenticarpus-245Ma</c:v>
                </c:pt>
                <c:pt idx="54">
                  <c:v>Qianichthyosaurus zhoui-235Ma</c:v>
                </c:pt>
                <c:pt idx="55">
                  <c:v>Qianichthyosaurus xingyiensis-235Ma</c:v>
                </c:pt>
                <c:pt idx="56">
                  <c:v>Callarwayia wolongganagense-235Ma</c:v>
                </c:pt>
              </c:strCache>
            </c:strRef>
          </c:cat>
          <c:val>
            <c:numRef>
              <c:f>'Low Fat Mass Results'!$I$4:$I$60</c:f>
              <c:numCache>
                <c:formatCode>0.0_);[Red]\(0.0\)</c:formatCode>
                <c:ptCount val="57"/>
                <c:pt idx="0">
                  <c:v>564.47298148612799</c:v>
                </c:pt>
                <c:pt idx="1">
                  <c:v>906.73964151023745</c:v>
                </c:pt>
                <c:pt idx="2">
                  <c:v>481.03839281240272</c:v>
                </c:pt>
                <c:pt idx="3">
                  <c:v>707.43383611224328</c:v>
                </c:pt>
                <c:pt idx="4">
                  <c:v>499.06045583314597</c:v>
                </c:pt>
                <c:pt idx="5">
                  <c:v>280.37425876356843</c:v>
                </c:pt>
                <c:pt idx="6">
                  <c:v>1025.5104974926348</c:v>
                </c:pt>
                <c:pt idx="7">
                  <c:v>305.96793107278114</c:v>
                </c:pt>
                <c:pt idx="8">
                  <c:v>552.04057449076367</c:v>
                </c:pt>
                <c:pt idx="9">
                  <c:v>537.860719129377</c:v>
                </c:pt>
                <c:pt idx="10">
                  <c:v>977.15766650000296</c:v>
                </c:pt>
                <c:pt idx="11">
                  <c:v>601.20493525274378</c:v>
                </c:pt>
                <c:pt idx="12">
                  <c:v>709.64091422719844</c:v>
                </c:pt>
                <c:pt idx="13">
                  <c:v>797.49656052506748</c:v>
                </c:pt>
                <c:pt idx="14">
                  <c:v>301.6065734085289</c:v>
                </c:pt>
                <c:pt idx="15">
                  <c:v>241.16459784820944</c:v>
                </c:pt>
                <c:pt idx="16">
                  <c:v>269.72651179479408</c:v>
                </c:pt>
                <c:pt idx="17">
                  <c:v>505.01967113653603</c:v>
                </c:pt>
                <c:pt idx="18">
                  <c:v>817.39673884332296</c:v>
                </c:pt>
                <c:pt idx="19">
                  <c:v>585.58941512161664</c:v>
                </c:pt>
                <c:pt idx="20">
                  <c:v>383.71391506846555</c:v>
                </c:pt>
                <c:pt idx="21">
                  <c:v>572.05752664034264</c:v>
                </c:pt>
                <c:pt idx="22">
                  <c:v>514.02256467766074</c:v>
                </c:pt>
                <c:pt idx="23">
                  <c:v>399.88800042634296</c:v>
                </c:pt>
                <c:pt idx="24">
                  <c:v>191.83973842118891</c:v>
                </c:pt>
                <c:pt idx="25">
                  <c:v>164.066417663045</c:v>
                </c:pt>
                <c:pt idx="26">
                  <c:v>219.09008662439149</c:v>
                </c:pt>
                <c:pt idx="27">
                  <c:v>255.04221422261645</c:v>
                </c:pt>
                <c:pt idx="28">
                  <c:v>147.09567834659245</c:v>
                </c:pt>
                <c:pt idx="29">
                  <c:v>103.30737918980051</c:v>
                </c:pt>
                <c:pt idx="30">
                  <c:v>131.32329671069985</c:v>
                </c:pt>
                <c:pt idx="31">
                  <c:v>161.27256220952111</c:v>
                </c:pt>
                <c:pt idx="32">
                  <c:v>313.50864461116311</c:v>
                </c:pt>
                <c:pt idx="33">
                  <c:v>120.14243354556737</c:v>
                </c:pt>
                <c:pt idx="34">
                  <c:v>94.592985467509408</c:v>
                </c:pt>
                <c:pt idx="35">
                  <c:v>507.47942294839703</c:v>
                </c:pt>
                <c:pt idx="36">
                  <c:v>199.78191724001007</c:v>
                </c:pt>
                <c:pt idx="37">
                  <c:v>214.97421608984661</c:v>
                </c:pt>
                <c:pt idx="38">
                  <c:v>185.43887341976037</c:v>
                </c:pt>
                <c:pt idx="39">
                  <c:v>336.47611656941291</c:v>
                </c:pt>
                <c:pt idx="40">
                  <c:v>112.17804468401444</c:v>
                </c:pt>
                <c:pt idx="41">
                  <c:v>139.67131536105276</c:v>
                </c:pt>
                <c:pt idx="42">
                  <c:v>92.530357984029308</c:v>
                </c:pt>
                <c:pt idx="43">
                  <c:v>122.33086801725685</c:v>
                </c:pt>
                <c:pt idx="44">
                  <c:v>255.42506305030665</c:v>
                </c:pt>
                <c:pt idx="45">
                  <c:v>129.72658013660734</c:v>
                </c:pt>
                <c:pt idx="46">
                  <c:v>253.53523407526566</c:v>
                </c:pt>
                <c:pt idx="47">
                  <c:v>49.529228225909158</c:v>
                </c:pt>
                <c:pt idx="48">
                  <c:v>83.594019546526113</c:v>
                </c:pt>
                <c:pt idx="49">
                  <c:v>60.679759883825035</c:v>
                </c:pt>
                <c:pt idx="50">
                  <c:v>63.047420853367029</c:v>
                </c:pt>
                <c:pt idx="51">
                  <c:v>59.640632174117087</c:v>
                </c:pt>
                <c:pt idx="52">
                  <c:v>62.453723502822228</c:v>
                </c:pt>
                <c:pt idx="53">
                  <c:v>34.908461298684315</c:v>
                </c:pt>
                <c:pt idx="54">
                  <c:v>92.828699877719899</c:v>
                </c:pt>
                <c:pt idx="55">
                  <c:v>85.410610795900752</c:v>
                </c:pt>
                <c:pt idx="56">
                  <c:v>80.107559954857862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0-40D9-814B-8A1CC352D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230639"/>
        <c:axId val="555231119"/>
      </c:radarChart>
      <c:catAx>
        <c:axId val="555230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5231119"/>
        <c:crosses val="autoZero"/>
        <c:auto val="1"/>
        <c:lblAlgn val="ctr"/>
        <c:lblOffset val="100"/>
        <c:noMultiLvlLbl val="0"/>
      </c:catAx>
      <c:valAx>
        <c:axId val="55523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cross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5230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'Low Fat Mass Results'!$B$62:$B$95</c:f>
              <c:strCache>
                <c:ptCount val="34"/>
                <c:pt idx="0">
                  <c:v>Cyamodus hildegardis-245Ma</c:v>
                </c:pt>
                <c:pt idx="1">
                  <c:v>Helveticosaurus zollingeri-245Ma</c:v>
                </c:pt>
                <c:pt idx="2">
                  <c:v>Helveticosaurus zollingeri-240Ma</c:v>
                </c:pt>
                <c:pt idx="3">
                  <c:v>Paraplacodus broilli-245Ma</c:v>
                </c:pt>
                <c:pt idx="4">
                  <c:v>Cyamodus kuhnschnyderi-240Ma</c:v>
                </c:pt>
                <c:pt idx="5">
                  <c:v>Cyamodus muensteri-240Ma</c:v>
                </c:pt>
                <c:pt idx="6">
                  <c:v>Cyamodus rostratus-240Ma</c:v>
                </c:pt>
                <c:pt idx="7">
                  <c:v>Henodus chelyops-240Ma</c:v>
                </c:pt>
                <c:pt idx="8">
                  <c:v>Placochelys placodonta-240Ma</c:v>
                </c:pt>
                <c:pt idx="9">
                  <c:v>Psephosauriscus sinaiticus-245Ma</c:v>
                </c:pt>
                <c:pt idx="10">
                  <c:v>Placodus gigas-240Ma</c:v>
                </c:pt>
                <c:pt idx="11">
                  <c:v>Psephosauriscus ramonensis-245Ma</c:v>
                </c:pt>
                <c:pt idx="12">
                  <c:v>Eusaurosphargis dalsassoi-245Ma</c:v>
                </c:pt>
                <c:pt idx="13">
                  <c:v>Psephosauriscus mosis-245Ma</c:v>
                </c:pt>
                <c:pt idx="14">
                  <c:v>Atopodentatus unicus-245Ma</c:v>
                </c:pt>
                <c:pt idx="15">
                  <c:v>Henodus chelyops-235Ma</c:v>
                </c:pt>
                <c:pt idx="16">
                  <c:v>Psephoderma alpinum-20Ma5Ma</c:v>
                </c:pt>
                <c:pt idx="17">
                  <c:v>Psephosauriscus rhombifer-240Ma</c:v>
                </c:pt>
                <c:pt idx="18">
                  <c:v>Placodus inexpectatus-245Ma</c:v>
                </c:pt>
                <c:pt idx="19">
                  <c:v>Psephoderma alpinum-215Ma</c:v>
                </c:pt>
                <c:pt idx="20">
                  <c:v>Pararcus diepenbroek-240Ma</c:v>
                </c:pt>
                <c:pt idx="21">
                  <c:v>Psephoderma alpinum-210Ma</c:v>
                </c:pt>
                <c:pt idx="22">
                  <c:v>Glyphoderma kangi-240Ma</c:v>
                </c:pt>
                <c:pt idx="23">
                  <c:v>Placodus gigas-245Ma</c:v>
                </c:pt>
                <c:pt idx="24">
                  <c:v>Placochelys placodonta-235Ma</c:v>
                </c:pt>
                <c:pt idx="25">
                  <c:v>Macroplacus raeticus-20Ma5Ma</c:v>
                </c:pt>
                <c:pt idx="26">
                  <c:v>Cyamodus muensteri-245Ma</c:v>
                </c:pt>
                <c:pt idx="27">
                  <c:v>Palatodonta bleekeri--245Ma</c:v>
                </c:pt>
                <c:pt idx="28">
                  <c:v>Pararcus diepenbroek-245Ma</c:v>
                </c:pt>
                <c:pt idx="29">
                  <c:v>Cyamodus rostratus-245Ma</c:v>
                </c:pt>
                <c:pt idx="30">
                  <c:v>Glyphoderma kangi-235Ma</c:v>
                </c:pt>
                <c:pt idx="31">
                  <c:v>Psephochelys polyosteoderma-235Ma</c:v>
                </c:pt>
                <c:pt idx="32">
                  <c:v>Sinocyamodus xinpuensis-235Ma</c:v>
                </c:pt>
                <c:pt idx="33">
                  <c:v>Cyamodus orientalis-235Ma</c:v>
                </c:pt>
              </c:strCache>
            </c:strRef>
          </c:cat>
          <c:val>
            <c:numRef>
              <c:f>'Low Fat Mass Results'!$I$62:$I$95</c:f>
              <c:numCache>
                <c:formatCode>0.0_);[Red]\(0.0\)</c:formatCode>
                <c:ptCount val="34"/>
                <c:pt idx="0">
                  <c:v>359.57890411490945</c:v>
                </c:pt>
                <c:pt idx="1">
                  <c:v>509.24382986497284</c:v>
                </c:pt>
                <c:pt idx="2">
                  <c:v>539.48345330707195</c:v>
                </c:pt>
                <c:pt idx="3">
                  <c:v>295.26246524043898</c:v>
                </c:pt>
                <c:pt idx="4">
                  <c:v>343.57043189345887</c:v>
                </c:pt>
                <c:pt idx="5">
                  <c:v>306.97815639053806</c:v>
                </c:pt>
                <c:pt idx="6">
                  <c:v>301.19182608684758</c:v>
                </c:pt>
                <c:pt idx="7">
                  <c:v>330.12608979210313</c:v>
                </c:pt>
                <c:pt idx="8">
                  <c:v>209.64962942017851</c:v>
                </c:pt>
                <c:pt idx="9">
                  <c:v>168.08466688369359</c:v>
                </c:pt>
                <c:pt idx="10">
                  <c:v>220.07210025640978</c:v>
                </c:pt>
                <c:pt idx="11">
                  <c:v>145.74426267735299</c:v>
                </c:pt>
                <c:pt idx="12">
                  <c:v>163.05753968285157</c:v>
                </c:pt>
                <c:pt idx="13">
                  <c:v>140.25935941112053</c:v>
                </c:pt>
                <c:pt idx="14">
                  <c:v>158.79936483204423</c:v>
                </c:pt>
                <c:pt idx="15">
                  <c:v>185.22906550204095</c:v>
                </c:pt>
                <c:pt idx="16">
                  <c:v>137.10116345289683</c:v>
                </c:pt>
                <c:pt idx="17">
                  <c:v>211.77951134583168</c:v>
                </c:pt>
                <c:pt idx="18">
                  <c:v>145.34759670845065</c:v>
                </c:pt>
                <c:pt idx="19">
                  <c:v>119.51537037241516</c:v>
                </c:pt>
                <c:pt idx="20">
                  <c:v>153.25546625261194</c:v>
                </c:pt>
                <c:pt idx="21">
                  <c:v>118.70815816238549</c:v>
                </c:pt>
                <c:pt idx="22">
                  <c:v>75.518464104926167</c:v>
                </c:pt>
                <c:pt idx="23">
                  <c:v>149.22266549955378</c:v>
                </c:pt>
                <c:pt idx="24">
                  <c:v>116.70410806373525</c:v>
                </c:pt>
                <c:pt idx="25">
                  <c:v>73.092674710726726</c:v>
                </c:pt>
                <c:pt idx="26">
                  <c:v>117.78396658567502</c:v>
                </c:pt>
                <c:pt idx="27">
                  <c:v>110.83966389080345</c:v>
                </c:pt>
                <c:pt idx="28">
                  <c:v>106.69426889469146</c:v>
                </c:pt>
                <c:pt idx="29">
                  <c:v>108.12074620910639</c:v>
                </c:pt>
                <c:pt idx="30">
                  <c:v>68.914585237021427</c:v>
                </c:pt>
                <c:pt idx="31">
                  <c:v>68.870135522967587</c:v>
                </c:pt>
                <c:pt idx="32">
                  <c:v>64.210696937702465</c:v>
                </c:pt>
                <c:pt idx="33">
                  <c:v>82.195570503741578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0-47E9-A5B7-A0A83159E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161360"/>
        <c:axId val="817161840"/>
      </c:radarChart>
      <c:catAx>
        <c:axId val="81716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7161840"/>
        <c:crosses val="autoZero"/>
        <c:auto val="1"/>
        <c:lblAlgn val="ctr"/>
        <c:lblOffset val="100"/>
        <c:noMultiLvlLbl val="0"/>
      </c:catAx>
      <c:valAx>
        <c:axId val="81716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716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'Low Fat Mass Results'!$I$98</c:f>
              <c:strCache>
                <c:ptCount val="1"/>
                <c:pt idx="0">
                  <c:v>Average annual migration distance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'Low Fat Mass Results'!$B$99:$B$155</c:f>
              <c:strCache>
                <c:ptCount val="57"/>
                <c:pt idx="0">
                  <c:v>Utatsusaurus hataii-245Ma</c:v>
                </c:pt>
                <c:pt idx="1">
                  <c:v>Omphalosaurus wolfi-240Ma</c:v>
                </c:pt>
                <c:pt idx="2">
                  <c:v>Cymbospondylus buchseri-240Ma</c:v>
                </c:pt>
                <c:pt idx="3">
                  <c:v>Besanosaurus leptorhynchus-240Ma</c:v>
                </c:pt>
                <c:pt idx="4">
                  <c:v>Mixosaurus cornalianus-240Ma</c:v>
                </c:pt>
                <c:pt idx="5">
                  <c:v>Phalarodon atavus-245Ma</c:v>
                </c:pt>
                <c:pt idx="6">
                  <c:v>Mikadocephalus gracilirostris-240Ma</c:v>
                </c:pt>
                <c:pt idx="7">
                  <c:v>Mikadocephalus gracilirostris-245Ma</c:v>
                </c:pt>
                <c:pt idx="8">
                  <c:v>Mixosaurus cornalianus-245Ma</c:v>
                </c:pt>
                <c:pt idx="9">
                  <c:v>Cymbospondylus buchseri-245Ma</c:v>
                </c:pt>
                <c:pt idx="10">
                  <c:v>Besanosaurus leptorhynchus-245Ma</c:v>
                </c:pt>
                <c:pt idx="11">
                  <c:v>Cymbospondylus duelferi-240Ma</c:v>
                </c:pt>
                <c:pt idx="12">
                  <c:v>Shastasaurus pacificus-235Ma</c:v>
                </c:pt>
                <c:pt idx="13">
                  <c:v>Thaisaurus chonglakmanii-245Ma</c:v>
                </c:pt>
                <c:pt idx="14">
                  <c:v>Phalarodon fraasi-245Ma</c:v>
                </c:pt>
                <c:pt idx="15">
                  <c:v>Phalarodon callawayi-240Ma</c:v>
                </c:pt>
                <c:pt idx="16">
                  <c:v>Cymbospondylus nichollsi-240Ma</c:v>
                </c:pt>
                <c:pt idx="17">
                  <c:v>Phalarodon fraasi-240Ma</c:v>
                </c:pt>
                <c:pt idx="18">
                  <c:v>Shastasaurus tangae-230Ma</c:v>
                </c:pt>
                <c:pt idx="19">
                  <c:v>Callarwayia wolongganagense-230Ma</c:v>
                </c:pt>
                <c:pt idx="20">
                  <c:v>Hudsonelpidia brevirostris-225Ma</c:v>
                </c:pt>
                <c:pt idx="21">
                  <c:v>Parvinatator wapitiensis-240Ma</c:v>
                </c:pt>
                <c:pt idx="22">
                  <c:v>Cymbospondylus piscosus-240Ma</c:v>
                </c:pt>
                <c:pt idx="23">
                  <c:v>Macgowania janiceps-220Ma</c:v>
                </c:pt>
                <c:pt idx="24">
                  <c:v>Parvinatator wapitiensis-245Ma</c:v>
                </c:pt>
                <c:pt idx="25">
                  <c:v>Gulosaurus helmi-245Ma</c:v>
                </c:pt>
                <c:pt idx="26">
                  <c:v>Himalayasaurus tibetensis-220Ma</c:v>
                </c:pt>
                <c:pt idx="27">
                  <c:v>Cymbospondylus duelferi-245Ma</c:v>
                </c:pt>
                <c:pt idx="28">
                  <c:v>Himalayasaurus tibetensis-215Ma</c:v>
                </c:pt>
                <c:pt idx="29">
                  <c:v>Omphalosaurus nevadanus-245Ma</c:v>
                </c:pt>
                <c:pt idx="30">
                  <c:v>Cymbospondylus nichollsi-245Ma</c:v>
                </c:pt>
                <c:pt idx="31">
                  <c:v>Cymbospondylus piscosus-245Ma</c:v>
                </c:pt>
                <c:pt idx="32">
                  <c:v>Callawayia neoscapularis-220Ma</c:v>
                </c:pt>
                <c:pt idx="33">
                  <c:v>Shonisaurus popularis-230Ma</c:v>
                </c:pt>
                <c:pt idx="34">
                  <c:v>Thalattoarchon saurophagis-245Ma</c:v>
                </c:pt>
                <c:pt idx="35">
                  <c:v>Grippia longirostris-245Ma</c:v>
                </c:pt>
                <c:pt idx="36">
                  <c:v>Hudsonelpidia brevirostris-220Ma</c:v>
                </c:pt>
                <c:pt idx="37">
                  <c:v>Quasianosteosaurus vikinghoegdai-245Ma</c:v>
                </c:pt>
                <c:pt idx="38">
                  <c:v>Shastasaurus sikanniensis-215Ma</c:v>
                </c:pt>
                <c:pt idx="39">
                  <c:v>Toretocnemus zitteli-230Ma</c:v>
                </c:pt>
                <c:pt idx="40">
                  <c:v>Phantomosaurus neubigi-245Ma</c:v>
                </c:pt>
                <c:pt idx="41">
                  <c:v>Shastasaurus pacificus-230Ma</c:v>
                </c:pt>
                <c:pt idx="42">
                  <c:v>Californosaurus perrini-230Ma</c:v>
                </c:pt>
                <c:pt idx="43">
                  <c:v>Chaohusaurus zhangjiawanensis-245Ma</c:v>
                </c:pt>
                <c:pt idx="44">
                  <c:v>Xinminosaurus catactes-245Ma</c:v>
                </c:pt>
                <c:pt idx="45">
                  <c:v>Toretocnemus californicus-230Ma</c:v>
                </c:pt>
                <c:pt idx="46">
                  <c:v>Chaohusaurus chaoxianensis-245Ma</c:v>
                </c:pt>
                <c:pt idx="47">
                  <c:v>Phalarodon callawayi-245Ma</c:v>
                </c:pt>
                <c:pt idx="48">
                  <c:v>Chaohusaurus geishanensis-245Ma</c:v>
                </c:pt>
                <c:pt idx="49">
                  <c:v>Sclerocormus parviceps-245Ma</c:v>
                </c:pt>
                <c:pt idx="50">
                  <c:v>Cartorhynchus lenticarpus-245Ma</c:v>
                </c:pt>
                <c:pt idx="51">
                  <c:v>Barracudasauroides panxianensis-245Ma</c:v>
                </c:pt>
                <c:pt idx="52">
                  <c:v>Shastasaurus liangae-235Ma</c:v>
                </c:pt>
                <c:pt idx="53">
                  <c:v>Shastasaurus tangae-235Ma</c:v>
                </c:pt>
                <c:pt idx="54">
                  <c:v>Callarwayia wolongganagense-235Ma</c:v>
                </c:pt>
                <c:pt idx="55">
                  <c:v>Qianichthyosaurus zhoui-235Ma</c:v>
                </c:pt>
                <c:pt idx="56">
                  <c:v>Qianichthyosaurus xingyiensis-235Ma</c:v>
                </c:pt>
              </c:strCache>
            </c:strRef>
          </c:cat>
          <c:val>
            <c:numRef>
              <c:f>'Low Fat Mass Results'!$I$99:$I$155</c:f>
              <c:numCache>
                <c:formatCode>0.0_);[Red]\(0.0\)</c:formatCode>
                <c:ptCount val="57"/>
                <c:pt idx="0">
                  <c:v>645.17342080845822</c:v>
                </c:pt>
                <c:pt idx="1">
                  <c:v>482.22036272621824</c:v>
                </c:pt>
                <c:pt idx="2">
                  <c:v>480.70512269232535</c:v>
                </c:pt>
                <c:pt idx="3">
                  <c:v>645.03449991953255</c:v>
                </c:pt>
                <c:pt idx="4">
                  <c:v>250.91424229317454</c:v>
                </c:pt>
                <c:pt idx="5">
                  <c:v>217.60665239152405</c:v>
                </c:pt>
                <c:pt idx="6">
                  <c:v>254.98633229477991</c:v>
                </c:pt>
                <c:pt idx="7">
                  <c:v>231.47149827273677</c:v>
                </c:pt>
                <c:pt idx="8">
                  <c:v>216.42337555490667</c:v>
                </c:pt>
                <c:pt idx="9">
                  <c:v>386.08228514363174</c:v>
                </c:pt>
                <c:pt idx="10">
                  <c:v>420.62699394386209</c:v>
                </c:pt>
                <c:pt idx="11">
                  <c:v>247.28316104983165</c:v>
                </c:pt>
                <c:pt idx="12">
                  <c:v>428.1523846236235</c:v>
                </c:pt>
                <c:pt idx="13">
                  <c:v>127.72710032133823</c:v>
                </c:pt>
                <c:pt idx="14">
                  <c:v>123.08862609505462</c:v>
                </c:pt>
                <c:pt idx="15">
                  <c:v>150.48437407745331</c:v>
                </c:pt>
                <c:pt idx="16">
                  <c:v>291.50338391898271</c:v>
                </c:pt>
                <c:pt idx="17">
                  <c:v>106.59621638152873</c:v>
                </c:pt>
                <c:pt idx="18">
                  <c:v>343.34317973849511</c:v>
                </c:pt>
                <c:pt idx="19">
                  <c:v>113.32072334023523</c:v>
                </c:pt>
                <c:pt idx="20">
                  <c:v>154.37405011504146</c:v>
                </c:pt>
                <c:pt idx="21">
                  <c:v>74.68252308295267</c:v>
                </c:pt>
                <c:pt idx="22">
                  <c:v>351.68842501456129</c:v>
                </c:pt>
                <c:pt idx="23">
                  <c:v>155.23389851846866</c:v>
                </c:pt>
                <c:pt idx="24">
                  <c:v>64.301395891374185</c:v>
                </c:pt>
                <c:pt idx="25">
                  <c:v>76.876786322897161</c:v>
                </c:pt>
                <c:pt idx="26">
                  <c:v>270.28566160384099</c:v>
                </c:pt>
                <c:pt idx="27">
                  <c:v>128.25425146829738</c:v>
                </c:pt>
                <c:pt idx="28">
                  <c:v>261.78338943504394</c:v>
                </c:pt>
                <c:pt idx="29">
                  <c:v>111.16913026261741</c:v>
                </c:pt>
                <c:pt idx="30">
                  <c:v>174.64240531989986</c:v>
                </c:pt>
                <c:pt idx="31">
                  <c:v>284.94953723157033</c:v>
                </c:pt>
                <c:pt idx="32">
                  <c:v>91.641226522393623</c:v>
                </c:pt>
                <c:pt idx="33">
                  <c:v>277.34979816329559</c:v>
                </c:pt>
                <c:pt idx="34">
                  <c:v>166.88305513463331</c:v>
                </c:pt>
                <c:pt idx="35">
                  <c:v>69.508727670227927</c:v>
                </c:pt>
                <c:pt idx="36">
                  <c:v>88.354076681042571</c:v>
                </c:pt>
                <c:pt idx="37">
                  <c:v>37.033567509544497</c:v>
                </c:pt>
                <c:pt idx="38">
                  <c:v>287.80195021951675</c:v>
                </c:pt>
                <c:pt idx="39">
                  <c:v>80.146203506721861</c:v>
                </c:pt>
                <c:pt idx="40">
                  <c:v>136.88012679245239</c:v>
                </c:pt>
                <c:pt idx="41">
                  <c:v>145.71152999530509</c:v>
                </c:pt>
                <c:pt idx="42">
                  <c:v>94.957816588224219</c:v>
                </c:pt>
                <c:pt idx="43">
                  <c:v>47.574961304052501</c:v>
                </c:pt>
                <c:pt idx="44">
                  <c:v>83.849595166973003</c:v>
                </c:pt>
                <c:pt idx="45">
                  <c:v>71.0162281218971</c:v>
                </c:pt>
                <c:pt idx="46">
                  <c:v>53.792946817480747</c:v>
                </c:pt>
                <c:pt idx="47">
                  <c:v>58.673774047643647</c:v>
                </c:pt>
                <c:pt idx="48">
                  <c:v>62.450642523758191</c:v>
                </c:pt>
                <c:pt idx="49">
                  <c:v>47.460440922740275</c:v>
                </c:pt>
                <c:pt idx="50">
                  <c:v>29.250722943926277</c:v>
                </c:pt>
                <c:pt idx="51">
                  <c:v>51.397775338620292</c:v>
                </c:pt>
                <c:pt idx="52">
                  <c:v>133.46386380911093</c:v>
                </c:pt>
                <c:pt idx="53">
                  <c:v>134.15244102908656</c:v>
                </c:pt>
                <c:pt idx="54">
                  <c:v>53.041048371313764</c:v>
                </c:pt>
                <c:pt idx="55">
                  <c:v>55.520514163073749</c:v>
                </c:pt>
                <c:pt idx="56">
                  <c:v>51.521322886455287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0-4EFB-844F-2D8A50A0B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56527"/>
        <c:axId val="811353647"/>
      </c:radarChart>
      <c:catAx>
        <c:axId val="81135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353647"/>
        <c:crosses val="autoZero"/>
        <c:auto val="1"/>
        <c:lblAlgn val="ctr"/>
        <c:lblOffset val="100"/>
        <c:noMultiLvlLbl val="0"/>
      </c:catAx>
      <c:valAx>
        <c:axId val="81135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35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'Low Fat Mass Results'!$B$157:$B$190</c:f>
              <c:strCache>
                <c:ptCount val="34"/>
                <c:pt idx="0">
                  <c:v>Cyamodus hildegardis-245Ma</c:v>
                </c:pt>
                <c:pt idx="1">
                  <c:v>Paraplacodus broilli-245Ma</c:v>
                </c:pt>
                <c:pt idx="2">
                  <c:v>Helveticosaurus zollingeri-240Ma</c:v>
                </c:pt>
                <c:pt idx="3">
                  <c:v>Cyamodus rostratus-240Ma</c:v>
                </c:pt>
                <c:pt idx="4">
                  <c:v>Cyamodus kuhnschnyderi-240Ma</c:v>
                </c:pt>
                <c:pt idx="5">
                  <c:v>Cyamodus muensteri-240Ma</c:v>
                </c:pt>
                <c:pt idx="6">
                  <c:v>Henodus chelyops-240Ma</c:v>
                </c:pt>
                <c:pt idx="7">
                  <c:v>Helveticosaurus zollingeri-245Ma</c:v>
                </c:pt>
                <c:pt idx="8">
                  <c:v>Placochelys placodonta-240Ma</c:v>
                </c:pt>
                <c:pt idx="9">
                  <c:v>Eusaurosphargis dalsassoi-245Ma</c:v>
                </c:pt>
                <c:pt idx="10">
                  <c:v>Placodus gigas-240Ma</c:v>
                </c:pt>
                <c:pt idx="11">
                  <c:v>Psephosauriscus rhombifer-240Ma</c:v>
                </c:pt>
                <c:pt idx="12">
                  <c:v>Psephosauriscus mosis-245Ma</c:v>
                </c:pt>
                <c:pt idx="13">
                  <c:v>Psephosauriscus ramonensis-245Ma</c:v>
                </c:pt>
                <c:pt idx="14">
                  <c:v>Psephosauriscus sinaiticus-245Ma</c:v>
                </c:pt>
                <c:pt idx="15">
                  <c:v>Pararcus diepenbroek-240Ma</c:v>
                </c:pt>
                <c:pt idx="16">
                  <c:v>Atopodentatus unicus-245Ma</c:v>
                </c:pt>
                <c:pt idx="17">
                  <c:v>Psephoderma alpinum-215Ma</c:v>
                </c:pt>
                <c:pt idx="18">
                  <c:v>Psephoderma alpinum-20Ma5Ma</c:v>
                </c:pt>
                <c:pt idx="19">
                  <c:v>Glyphoderma kangi-240Ma</c:v>
                </c:pt>
                <c:pt idx="20">
                  <c:v>Psephoderma alpinum-210Ma</c:v>
                </c:pt>
                <c:pt idx="21">
                  <c:v>Henodus chelyops-235Ma</c:v>
                </c:pt>
                <c:pt idx="22">
                  <c:v>Macroplacus raeticus-20Ma5Ma</c:v>
                </c:pt>
                <c:pt idx="23">
                  <c:v>Pararcus diepenbroek-245Ma</c:v>
                </c:pt>
                <c:pt idx="24">
                  <c:v>Placochelys placodonta-235Ma</c:v>
                </c:pt>
                <c:pt idx="25">
                  <c:v>Placodus inexpectatus-245Ma</c:v>
                </c:pt>
                <c:pt idx="26">
                  <c:v>Placodus gigas-245Ma</c:v>
                </c:pt>
                <c:pt idx="27">
                  <c:v>Cyamodus muensteri-245Ma</c:v>
                </c:pt>
                <c:pt idx="28">
                  <c:v>Cyamodus rostratus-245Ma</c:v>
                </c:pt>
                <c:pt idx="29">
                  <c:v>Palatodonta bleekeri--245Ma</c:v>
                </c:pt>
                <c:pt idx="30">
                  <c:v>Cyamodus orientalis-235Ma</c:v>
                </c:pt>
                <c:pt idx="31">
                  <c:v>Glyphoderma kangi-235Ma</c:v>
                </c:pt>
                <c:pt idx="32">
                  <c:v>Sinocyamodus xinpuensis-235Ma</c:v>
                </c:pt>
                <c:pt idx="33">
                  <c:v>Psephochelys polyosteoderma-235Ma</c:v>
                </c:pt>
              </c:strCache>
            </c:strRef>
          </c:cat>
          <c:val>
            <c:numRef>
              <c:f>'Low Fat Mass Results'!$I$157:$I$190</c:f>
              <c:numCache>
                <c:formatCode>0.0_);[Red]\(0.0\)</c:formatCode>
                <c:ptCount val="34"/>
                <c:pt idx="0">
                  <c:v>295.61763707238981</c:v>
                </c:pt>
                <c:pt idx="1">
                  <c:v>254.07157107990852</c:v>
                </c:pt>
                <c:pt idx="2">
                  <c:v>432.49736492052466</c:v>
                </c:pt>
                <c:pt idx="3">
                  <c:v>259.87931493086808</c:v>
                </c:pt>
                <c:pt idx="4">
                  <c:v>290.97683351647788</c:v>
                </c:pt>
                <c:pt idx="5">
                  <c:v>245.9812675515868</c:v>
                </c:pt>
                <c:pt idx="6">
                  <c:v>245.41122593398521</c:v>
                </c:pt>
                <c:pt idx="7">
                  <c:v>314.93076668438346</c:v>
                </c:pt>
                <c:pt idx="8">
                  <c:v>140.87486209529158</c:v>
                </c:pt>
                <c:pt idx="9">
                  <c:v>141.68142603824307</c:v>
                </c:pt>
                <c:pt idx="10">
                  <c:v>141.02722208329524</c:v>
                </c:pt>
                <c:pt idx="11">
                  <c:v>150.52710585256142</c:v>
                </c:pt>
                <c:pt idx="12">
                  <c:v>99.421514527156376</c:v>
                </c:pt>
                <c:pt idx="13">
                  <c:v>95.234294081611537</c:v>
                </c:pt>
                <c:pt idx="14">
                  <c:v>97.643646730414204</c:v>
                </c:pt>
                <c:pt idx="15">
                  <c:v>78.804110625957492</c:v>
                </c:pt>
                <c:pt idx="16">
                  <c:v>95.450722029406506</c:v>
                </c:pt>
                <c:pt idx="17">
                  <c:v>84.089027530382239</c:v>
                </c:pt>
                <c:pt idx="18">
                  <c:v>82.114158084887848</c:v>
                </c:pt>
                <c:pt idx="19">
                  <c:v>52.475680157512677</c:v>
                </c:pt>
                <c:pt idx="20">
                  <c:v>78.395354783923395</c:v>
                </c:pt>
                <c:pt idx="21">
                  <c:v>88.394288625309159</c:v>
                </c:pt>
                <c:pt idx="22">
                  <c:v>53.975398019583842</c:v>
                </c:pt>
                <c:pt idx="23">
                  <c:v>63.56482848683666</c:v>
                </c:pt>
                <c:pt idx="24">
                  <c:v>56.053755105854435</c:v>
                </c:pt>
                <c:pt idx="25">
                  <c:v>78.157440895332471</c:v>
                </c:pt>
                <c:pt idx="26">
                  <c:v>67.965771566673837</c:v>
                </c:pt>
                <c:pt idx="27">
                  <c:v>62.171764169114084</c:v>
                </c:pt>
                <c:pt idx="28">
                  <c:v>60.596471519323579</c:v>
                </c:pt>
                <c:pt idx="29">
                  <c:v>53.514240981680558</c:v>
                </c:pt>
                <c:pt idx="30">
                  <c:v>52.288521734146791</c:v>
                </c:pt>
                <c:pt idx="31">
                  <c:v>41.014736701900169</c:v>
                </c:pt>
                <c:pt idx="32">
                  <c:v>45.712054968913577</c:v>
                </c:pt>
                <c:pt idx="33">
                  <c:v>42.741373863205055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6-4595-8975-A166D729D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789215"/>
        <c:axId val="563792095"/>
      </c:radarChart>
      <c:catAx>
        <c:axId val="56378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3792095"/>
        <c:crosses val="autoZero"/>
        <c:auto val="1"/>
        <c:lblAlgn val="ctr"/>
        <c:lblOffset val="100"/>
        <c:noMultiLvlLbl val="0"/>
      </c:catAx>
      <c:valAx>
        <c:axId val="56379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3789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'Low Fat Mass Results'!$J$3</c:f>
              <c:strCache>
                <c:ptCount val="1"/>
                <c:pt idx="0">
                  <c:v>Migration Survival Rate(%)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'Low Fat Mass Results'!$B$4:$B$60</c:f>
              <c:strCache>
                <c:ptCount val="57"/>
                <c:pt idx="0">
                  <c:v>Utatsusaurus hataii-245Ma</c:v>
                </c:pt>
                <c:pt idx="1">
                  <c:v>Shastasaurus pacificus-235Ma</c:v>
                </c:pt>
                <c:pt idx="2">
                  <c:v>Omphalosaurus wolfi-240Ma</c:v>
                </c:pt>
                <c:pt idx="3">
                  <c:v>Cymbospondylus nichollsi-240Ma.xlsx</c:v>
                </c:pt>
                <c:pt idx="4">
                  <c:v>Cymbospondylus duelferi-240Ma</c:v>
                </c:pt>
                <c:pt idx="5">
                  <c:v>Mixosaurus cornalianus-245Ma</c:v>
                </c:pt>
                <c:pt idx="6">
                  <c:v>Cymbospondylus piscosus-240Ma</c:v>
                </c:pt>
                <c:pt idx="7">
                  <c:v>Mikadocephalus gracilirostris-245Ma</c:v>
                </c:pt>
                <c:pt idx="8">
                  <c:v>Cymbospondylus buchseri-240Ma</c:v>
                </c:pt>
                <c:pt idx="9">
                  <c:v>Cymbospondylus buchseri-245Ma</c:v>
                </c:pt>
                <c:pt idx="10">
                  <c:v>Cymbospondylus piscosus-245Ma</c:v>
                </c:pt>
                <c:pt idx="11">
                  <c:v>Thalattoarchon saurophagis-245Ma</c:v>
                </c:pt>
                <c:pt idx="12">
                  <c:v>Besanosaurus leptorhynchus-240Ma</c:v>
                </c:pt>
                <c:pt idx="13">
                  <c:v>Himalayasaurus tibetensis-220Ma</c:v>
                </c:pt>
                <c:pt idx="14">
                  <c:v>Mikadocephalus gracilirostris-240Ma</c:v>
                </c:pt>
                <c:pt idx="15">
                  <c:v>Phalarodon atavus-245Ma</c:v>
                </c:pt>
                <c:pt idx="16">
                  <c:v>Mixosaurus cornalianus-240Ma</c:v>
                </c:pt>
                <c:pt idx="17">
                  <c:v>Cymbospondylus nichollsi-245Ma</c:v>
                </c:pt>
                <c:pt idx="18">
                  <c:v>Shonisaurus popularis-230Ma</c:v>
                </c:pt>
                <c:pt idx="19">
                  <c:v>Besanosaurus leptorhynchus-245Ma</c:v>
                </c:pt>
                <c:pt idx="20">
                  <c:v>Macgowania janiceps-220Ma</c:v>
                </c:pt>
                <c:pt idx="21">
                  <c:v>Himalayasaurus tibetensis-215Ma</c:v>
                </c:pt>
                <c:pt idx="22">
                  <c:v>Shastasaurus tangae-230Ma</c:v>
                </c:pt>
                <c:pt idx="23">
                  <c:v>Shastasaurus pacificus-230Ma</c:v>
                </c:pt>
                <c:pt idx="24">
                  <c:v>Phalarodon callawayi-240Ma</c:v>
                </c:pt>
                <c:pt idx="25">
                  <c:v>Phalarodon fraasi-245Ma</c:v>
                </c:pt>
                <c:pt idx="26">
                  <c:v>Omphalosaurus nevadanus-245Ma</c:v>
                </c:pt>
                <c:pt idx="27">
                  <c:v>Cymbospondylus duelferi-245Ma</c:v>
                </c:pt>
                <c:pt idx="28">
                  <c:v>Thaisaurus chonglakmanii-245Ma</c:v>
                </c:pt>
                <c:pt idx="29">
                  <c:v>Parvinatator wapitiensis-245Ma</c:v>
                </c:pt>
                <c:pt idx="30">
                  <c:v>Phalarodon fraasi-240Ma</c:v>
                </c:pt>
                <c:pt idx="31">
                  <c:v>Callarwayia wolongganagense-230Ma</c:v>
                </c:pt>
                <c:pt idx="32">
                  <c:v>Hudsonelpidia brevirostris-225Ma</c:v>
                </c:pt>
                <c:pt idx="33">
                  <c:v>Gulosaurus helmi-245Ma</c:v>
                </c:pt>
                <c:pt idx="34">
                  <c:v>Parvinatator wapitiensis-240Ma</c:v>
                </c:pt>
                <c:pt idx="35">
                  <c:v>Shastasaurus sikanniensis-215Ma</c:v>
                </c:pt>
                <c:pt idx="36">
                  <c:v>Hudsonelpidia brevirostris-220Ma</c:v>
                </c:pt>
                <c:pt idx="37">
                  <c:v>Californosaurus perrini-230Ma</c:v>
                </c:pt>
                <c:pt idx="38">
                  <c:v>Callawayia neoscapularis-220Ma</c:v>
                </c:pt>
                <c:pt idx="39">
                  <c:v>Phantomosaurus neubigi-245Ma</c:v>
                </c:pt>
                <c:pt idx="40">
                  <c:v>Grippia longirostris-245Ma</c:v>
                </c:pt>
                <c:pt idx="41">
                  <c:v>Toretocnemus californicus-230Ma</c:v>
                </c:pt>
                <c:pt idx="42">
                  <c:v>Phalarodon callawayi-245Ma</c:v>
                </c:pt>
                <c:pt idx="43">
                  <c:v>Toretocnemus zitteli-230Ma</c:v>
                </c:pt>
                <c:pt idx="44">
                  <c:v>Shastasaurus liangae-235Ma</c:v>
                </c:pt>
                <c:pt idx="45">
                  <c:v>Xinminosaurus catactes-245Ma</c:v>
                </c:pt>
                <c:pt idx="46">
                  <c:v>Shastasaurus tangae-235Ma</c:v>
                </c:pt>
                <c:pt idx="47">
                  <c:v>Quasianosteosaurus vikinghoegdai-245Ma</c:v>
                </c:pt>
                <c:pt idx="48">
                  <c:v>Chaohusaurus geishanensis-245Ma</c:v>
                </c:pt>
                <c:pt idx="49">
                  <c:v>Chaohusaurus zhangjiawanensis-245Ma</c:v>
                </c:pt>
                <c:pt idx="50">
                  <c:v>Sclerocormus parviceps-245Ma</c:v>
                </c:pt>
                <c:pt idx="51">
                  <c:v>Chaohusaurus chaoxianensis-245Ma</c:v>
                </c:pt>
                <c:pt idx="52">
                  <c:v>Barracudasauroides panxianensis-245Ma</c:v>
                </c:pt>
                <c:pt idx="53">
                  <c:v>Cartorhynchus lenticarpus-245Ma</c:v>
                </c:pt>
                <c:pt idx="54">
                  <c:v>Qianichthyosaurus zhoui-235Ma</c:v>
                </c:pt>
                <c:pt idx="55">
                  <c:v>Qianichthyosaurus xingyiensis-235Ma</c:v>
                </c:pt>
                <c:pt idx="56">
                  <c:v>Callarwayia wolongganagense-235Ma</c:v>
                </c:pt>
              </c:strCache>
            </c:strRef>
          </c:cat>
          <c:val>
            <c:numRef>
              <c:f>'Low Fat Mass Results'!$J$4:$J$60</c:f>
              <c:numCache>
                <c:formatCode>General</c:formatCode>
                <c:ptCount val="57"/>
                <c:pt idx="0">
                  <c:v>90</c:v>
                </c:pt>
                <c:pt idx="1">
                  <c:v>60</c:v>
                </c:pt>
                <c:pt idx="2">
                  <c:v>62</c:v>
                </c:pt>
                <c:pt idx="3">
                  <c:v>75.5</c:v>
                </c:pt>
                <c:pt idx="4">
                  <c:v>74</c:v>
                </c:pt>
                <c:pt idx="5">
                  <c:v>75.5</c:v>
                </c:pt>
                <c:pt idx="6">
                  <c:v>87</c:v>
                </c:pt>
                <c:pt idx="7">
                  <c:v>66.5</c:v>
                </c:pt>
                <c:pt idx="8">
                  <c:v>67.5</c:v>
                </c:pt>
                <c:pt idx="9">
                  <c:v>75.5</c:v>
                </c:pt>
                <c:pt idx="10">
                  <c:v>87.5</c:v>
                </c:pt>
                <c:pt idx="11">
                  <c:v>85</c:v>
                </c:pt>
                <c:pt idx="12">
                  <c:v>70</c:v>
                </c:pt>
                <c:pt idx="13">
                  <c:v>83</c:v>
                </c:pt>
                <c:pt idx="14">
                  <c:v>52</c:v>
                </c:pt>
                <c:pt idx="15">
                  <c:v>64</c:v>
                </c:pt>
                <c:pt idx="16">
                  <c:v>53</c:v>
                </c:pt>
                <c:pt idx="17">
                  <c:v>78</c:v>
                </c:pt>
                <c:pt idx="18">
                  <c:v>78</c:v>
                </c:pt>
                <c:pt idx="19">
                  <c:v>74.5</c:v>
                </c:pt>
                <c:pt idx="20">
                  <c:v>50</c:v>
                </c:pt>
                <c:pt idx="21">
                  <c:v>78</c:v>
                </c:pt>
                <c:pt idx="22">
                  <c:v>72</c:v>
                </c:pt>
                <c:pt idx="23">
                  <c:v>69.5</c:v>
                </c:pt>
                <c:pt idx="24">
                  <c:v>64</c:v>
                </c:pt>
                <c:pt idx="25">
                  <c:v>60</c:v>
                </c:pt>
                <c:pt idx="26">
                  <c:v>74.5</c:v>
                </c:pt>
                <c:pt idx="27">
                  <c:v>72</c:v>
                </c:pt>
                <c:pt idx="28">
                  <c:v>61.5</c:v>
                </c:pt>
                <c:pt idx="29">
                  <c:v>73</c:v>
                </c:pt>
                <c:pt idx="30">
                  <c:v>58.5</c:v>
                </c:pt>
                <c:pt idx="31">
                  <c:v>45.5</c:v>
                </c:pt>
                <c:pt idx="32">
                  <c:v>15</c:v>
                </c:pt>
                <c:pt idx="33">
                  <c:v>72.5</c:v>
                </c:pt>
                <c:pt idx="34">
                  <c:v>65.5</c:v>
                </c:pt>
                <c:pt idx="35">
                  <c:v>79.5</c:v>
                </c:pt>
                <c:pt idx="36">
                  <c:v>36</c:v>
                </c:pt>
                <c:pt idx="37">
                  <c:v>45</c:v>
                </c:pt>
                <c:pt idx="38">
                  <c:v>33.5</c:v>
                </c:pt>
                <c:pt idx="39">
                  <c:v>31.5</c:v>
                </c:pt>
                <c:pt idx="40">
                  <c:v>50</c:v>
                </c:pt>
                <c:pt idx="41">
                  <c:v>39.5</c:v>
                </c:pt>
                <c:pt idx="42">
                  <c:v>71.5</c:v>
                </c:pt>
                <c:pt idx="43">
                  <c:v>37.5</c:v>
                </c:pt>
                <c:pt idx="44">
                  <c:v>52</c:v>
                </c:pt>
                <c:pt idx="45">
                  <c:v>45.5</c:v>
                </c:pt>
                <c:pt idx="46">
                  <c:v>54.5</c:v>
                </c:pt>
                <c:pt idx="47">
                  <c:v>49.5</c:v>
                </c:pt>
                <c:pt idx="48">
                  <c:v>47</c:v>
                </c:pt>
                <c:pt idx="49">
                  <c:v>40.5</c:v>
                </c:pt>
                <c:pt idx="50">
                  <c:v>40.5</c:v>
                </c:pt>
                <c:pt idx="51">
                  <c:v>43</c:v>
                </c:pt>
                <c:pt idx="52">
                  <c:v>38.5</c:v>
                </c:pt>
                <c:pt idx="53">
                  <c:v>0</c:v>
                </c:pt>
                <c:pt idx="54">
                  <c:v>12.5</c:v>
                </c:pt>
                <c:pt idx="55">
                  <c:v>11</c:v>
                </c:pt>
                <c:pt idx="56">
                  <c:v>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1-4AC4-BF10-5B3F5377E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0528"/>
        <c:axId val="6637168"/>
      </c:radarChart>
      <c:catAx>
        <c:axId val="664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37168"/>
        <c:crosses val="autoZero"/>
        <c:auto val="1"/>
        <c:lblAlgn val="ctr"/>
        <c:lblOffset val="100"/>
        <c:noMultiLvlLbl val="0"/>
      </c:catAx>
      <c:valAx>
        <c:axId val="663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4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'Low Fat Mass Results'!$B$62:$B$95</c:f>
              <c:strCache>
                <c:ptCount val="34"/>
                <c:pt idx="0">
                  <c:v>Cyamodus hildegardis-245Ma</c:v>
                </c:pt>
                <c:pt idx="1">
                  <c:v>Helveticosaurus zollingeri-245Ma</c:v>
                </c:pt>
                <c:pt idx="2">
                  <c:v>Helveticosaurus zollingeri-240Ma</c:v>
                </c:pt>
                <c:pt idx="3">
                  <c:v>Paraplacodus broilli-245Ma</c:v>
                </c:pt>
                <c:pt idx="4">
                  <c:v>Cyamodus kuhnschnyderi-240Ma</c:v>
                </c:pt>
                <c:pt idx="5">
                  <c:v>Cyamodus muensteri-240Ma</c:v>
                </c:pt>
                <c:pt idx="6">
                  <c:v>Cyamodus rostratus-240Ma</c:v>
                </c:pt>
                <c:pt idx="7">
                  <c:v>Henodus chelyops-240Ma</c:v>
                </c:pt>
                <c:pt idx="8">
                  <c:v>Placochelys placodonta-240Ma</c:v>
                </c:pt>
                <c:pt idx="9">
                  <c:v>Psephosauriscus sinaiticus-245Ma</c:v>
                </c:pt>
                <c:pt idx="10">
                  <c:v>Placodus gigas-240Ma</c:v>
                </c:pt>
                <c:pt idx="11">
                  <c:v>Psephosauriscus ramonensis-245Ma</c:v>
                </c:pt>
                <c:pt idx="12">
                  <c:v>Eusaurosphargis dalsassoi-245Ma</c:v>
                </c:pt>
                <c:pt idx="13">
                  <c:v>Psephosauriscus mosis-245Ma</c:v>
                </c:pt>
                <c:pt idx="14">
                  <c:v>Atopodentatus unicus-245Ma</c:v>
                </c:pt>
                <c:pt idx="15">
                  <c:v>Henodus chelyops-235Ma</c:v>
                </c:pt>
                <c:pt idx="16">
                  <c:v>Psephoderma alpinum-20Ma5Ma</c:v>
                </c:pt>
                <c:pt idx="17">
                  <c:v>Psephosauriscus rhombifer-240Ma</c:v>
                </c:pt>
                <c:pt idx="18">
                  <c:v>Placodus inexpectatus-245Ma</c:v>
                </c:pt>
                <c:pt idx="19">
                  <c:v>Psephoderma alpinum-215Ma</c:v>
                </c:pt>
                <c:pt idx="20">
                  <c:v>Pararcus diepenbroek-240Ma</c:v>
                </c:pt>
                <c:pt idx="21">
                  <c:v>Psephoderma alpinum-210Ma</c:v>
                </c:pt>
                <c:pt idx="22">
                  <c:v>Glyphoderma kangi-240Ma</c:v>
                </c:pt>
                <c:pt idx="23">
                  <c:v>Placodus gigas-245Ma</c:v>
                </c:pt>
                <c:pt idx="24">
                  <c:v>Placochelys placodonta-235Ma</c:v>
                </c:pt>
                <c:pt idx="25">
                  <c:v>Macroplacus raeticus-20Ma5Ma</c:v>
                </c:pt>
                <c:pt idx="26">
                  <c:v>Cyamodus muensteri-245Ma</c:v>
                </c:pt>
                <c:pt idx="27">
                  <c:v>Palatodonta bleekeri--245Ma</c:v>
                </c:pt>
                <c:pt idx="28">
                  <c:v>Pararcus diepenbroek-245Ma</c:v>
                </c:pt>
                <c:pt idx="29">
                  <c:v>Cyamodus rostratus-245Ma</c:v>
                </c:pt>
                <c:pt idx="30">
                  <c:v>Glyphoderma kangi-235Ma</c:v>
                </c:pt>
                <c:pt idx="31">
                  <c:v>Psephochelys polyosteoderma-235Ma</c:v>
                </c:pt>
                <c:pt idx="32">
                  <c:v>Sinocyamodus xinpuensis-235Ma</c:v>
                </c:pt>
                <c:pt idx="33">
                  <c:v>Cyamodus orientalis-235Ma</c:v>
                </c:pt>
              </c:strCache>
            </c:strRef>
          </c:cat>
          <c:val>
            <c:numRef>
              <c:f>'Low Fat Mass Results'!$J$62:$J$95</c:f>
              <c:numCache>
                <c:formatCode>General</c:formatCode>
                <c:ptCount val="34"/>
                <c:pt idx="0">
                  <c:v>73</c:v>
                </c:pt>
                <c:pt idx="1">
                  <c:v>73.5</c:v>
                </c:pt>
                <c:pt idx="2">
                  <c:v>62</c:v>
                </c:pt>
                <c:pt idx="3">
                  <c:v>66</c:v>
                </c:pt>
                <c:pt idx="4">
                  <c:v>56</c:v>
                </c:pt>
                <c:pt idx="5">
                  <c:v>53.5</c:v>
                </c:pt>
                <c:pt idx="6">
                  <c:v>48</c:v>
                </c:pt>
                <c:pt idx="7">
                  <c:v>42.5</c:v>
                </c:pt>
                <c:pt idx="8">
                  <c:v>42.5</c:v>
                </c:pt>
                <c:pt idx="9">
                  <c:v>51</c:v>
                </c:pt>
                <c:pt idx="10">
                  <c:v>33.5</c:v>
                </c:pt>
                <c:pt idx="11">
                  <c:v>51</c:v>
                </c:pt>
                <c:pt idx="12">
                  <c:v>0</c:v>
                </c:pt>
                <c:pt idx="13">
                  <c:v>49</c:v>
                </c:pt>
                <c:pt idx="14">
                  <c:v>54</c:v>
                </c:pt>
                <c:pt idx="15">
                  <c:v>31.5</c:v>
                </c:pt>
                <c:pt idx="16">
                  <c:v>61.5</c:v>
                </c:pt>
                <c:pt idx="17">
                  <c:v>14</c:v>
                </c:pt>
                <c:pt idx="18">
                  <c:v>48</c:v>
                </c:pt>
                <c:pt idx="19">
                  <c:v>52</c:v>
                </c:pt>
                <c:pt idx="20">
                  <c:v>15</c:v>
                </c:pt>
                <c:pt idx="21">
                  <c:v>49.5</c:v>
                </c:pt>
                <c:pt idx="22">
                  <c:v>38.5</c:v>
                </c:pt>
                <c:pt idx="23">
                  <c:v>20</c:v>
                </c:pt>
                <c:pt idx="24">
                  <c:v>22</c:v>
                </c:pt>
                <c:pt idx="25">
                  <c:v>51</c:v>
                </c:pt>
                <c:pt idx="26">
                  <c:v>17.5</c:v>
                </c:pt>
                <c:pt idx="27">
                  <c:v>12.5</c:v>
                </c:pt>
                <c:pt idx="28">
                  <c:v>12.5</c:v>
                </c:pt>
                <c:pt idx="29">
                  <c:v>7.5</c:v>
                </c:pt>
                <c:pt idx="30">
                  <c:v>18.5</c:v>
                </c:pt>
                <c:pt idx="31">
                  <c:v>16.5</c:v>
                </c:pt>
                <c:pt idx="32">
                  <c:v>18</c:v>
                </c:pt>
                <c:pt idx="33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9-4CA2-A388-3F4FEBBFA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317632"/>
        <c:axId val="340301312"/>
      </c:radarChart>
      <c:catAx>
        <c:axId val="34031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0301312"/>
        <c:crosses val="autoZero"/>
        <c:auto val="1"/>
        <c:lblAlgn val="ctr"/>
        <c:lblOffset val="100"/>
        <c:noMultiLvlLbl val="0"/>
      </c:catAx>
      <c:valAx>
        <c:axId val="34030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031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'Low Fat Mass Results'!$J$98</c:f>
              <c:strCache>
                <c:ptCount val="1"/>
                <c:pt idx="0">
                  <c:v>Migration Survival Rate(%)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'Low Fat Mass Results'!$B$99:$B$155</c:f>
              <c:strCache>
                <c:ptCount val="57"/>
                <c:pt idx="0">
                  <c:v>Utatsusaurus hataii-245Ma</c:v>
                </c:pt>
                <c:pt idx="1">
                  <c:v>Omphalosaurus wolfi-240Ma</c:v>
                </c:pt>
                <c:pt idx="2">
                  <c:v>Cymbospondylus buchseri-240Ma</c:v>
                </c:pt>
                <c:pt idx="3">
                  <c:v>Besanosaurus leptorhynchus-240Ma</c:v>
                </c:pt>
                <c:pt idx="4">
                  <c:v>Mixosaurus cornalianus-240Ma</c:v>
                </c:pt>
                <c:pt idx="5">
                  <c:v>Phalarodon atavus-245Ma</c:v>
                </c:pt>
                <c:pt idx="6">
                  <c:v>Mikadocephalus gracilirostris-240Ma</c:v>
                </c:pt>
                <c:pt idx="7">
                  <c:v>Mikadocephalus gracilirostris-245Ma</c:v>
                </c:pt>
                <c:pt idx="8">
                  <c:v>Mixosaurus cornalianus-245Ma</c:v>
                </c:pt>
                <c:pt idx="9">
                  <c:v>Cymbospondylus buchseri-245Ma</c:v>
                </c:pt>
                <c:pt idx="10">
                  <c:v>Besanosaurus leptorhynchus-245Ma</c:v>
                </c:pt>
                <c:pt idx="11">
                  <c:v>Cymbospondylus duelferi-240Ma</c:v>
                </c:pt>
                <c:pt idx="12">
                  <c:v>Shastasaurus pacificus-235Ma</c:v>
                </c:pt>
                <c:pt idx="13">
                  <c:v>Thaisaurus chonglakmanii-245Ma</c:v>
                </c:pt>
                <c:pt idx="14">
                  <c:v>Phalarodon fraasi-245Ma</c:v>
                </c:pt>
                <c:pt idx="15">
                  <c:v>Phalarodon callawayi-240Ma</c:v>
                </c:pt>
                <c:pt idx="16">
                  <c:v>Cymbospondylus nichollsi-240Ma</c:v>
                </c:pt>
                <c:pt idx="17">
                  <c:v>Phalarodon fraasi-240Ma</c:v>
                </c:pt>
                <c:pt idx="18">
                  <c:v>Shastasaurus tangae-230Ma</c:v>
                </c:pt>
                <c:pt idx="19">
                  <c:v>Callarwayia wolongganagense-230Ma</c:v>
                </c:pt>
                <c:pt idx="20">
                  <c:v>Hudsonelpidia brevirostris-225Ma</c:v>
                </c:pt>
                <c:pt idx="21">
                  <c:v>Parvinatator wapitiensis-240Ma</c:v>
                </c:pt>
                <c:pt idx="22">
                  <c:v>Cymbospondylus piscosus-240Ma</c:v>
                </c:pt>
                <c:pt idx="23">
                  <c:v>Macgowania janiceps-220Ma</c:v>
                </c:pt>
                <c:pt idx="24">
                  <c:v>Parvinatator wapitiensis-245Ma</c:v>
                </c:pt>
                <c:pt idx="25">
                  <c:v>Gulosaurus helmi-245Ma</c:v>
                </c:pt>
                <c:pt idx="26">
                  <c:v>Himalayasaurus tibetensis-220Ma</c:v>
                </c:pt>
                <c:pt idx="27">
                  <c:v>Cymbospondylus duelferi-245Ma</c:v>
                </c:pt>
                <c:pt idx="28">
                  <c:v>Himalayasaurus tibetensis-215Ma</c:v>
                </c:pt>
                <c:pt idx="29">
                  <c:v>Omphalosaurus nevadanus-245Ma</c:v>
                </c:pt>
                <c:pt idx="30">
                  <c:v>Cymbospondylus nichollsi-245Ma</c:v>
                </c:pt>
                <c:pt idx="31">
                  <c:v>Cymbospondylus piscosus-245Ma</c:v>
                </c:pt>
                <c:pt idx="32">
                  <c:v>Callawayia neoscapularis-220Ma</c:v>
                </c:pt>
                <c:pt idx="33">
                  <c:v>Shonisaurus popularis-230Ma</c:v>
                </c:pt>
                <c:pt idx="34">
                  <c:v>Thalattoarchon saurophagis-245Ma</c:v>
                </c:pt>
                <c:pt idx="35">
                  <c:v>Grippia longirostris-245Ma</c:v>
                </c:pt>
                <c:pt idx="36">
                  <c:v>Hudsonelpidia brevirostris-220Ma</c:v>
                </c:pt>
                <c:pt idx="37">
                  <c:v>Quasianosteosaurus vikinghoegdai-245Ma</c:v>
                </c:pt>
                <c:pt idx="38">
                  <c:v>Shastasaurus sikanniensis-215Ma</c:v>
                </c:pt>
                <c:pt idx="39">
                  <c:v>Toretocnemus zitteli-230Ma</c:v>
                </c:pt>
                <c:pt idx="40">
                  <c:v>Phantomosaurus neubigi-245Ma</c:v>
                </c:pt>
                <c:pt idx="41">
                  <c:v>Shastasaurus pacificus-230Ma</c:v>
                </c:pt>
                <c:pt idx="42">
                  <c:v>Californosaurus perrini-230Ma</c:v>
                </c:pt>
                <c:pt idx="43">
                  <c:v>Chaohusaurus zhangjiawanensis-245Ma</c:v>
                </c:pt>
                <c:pt idx="44">
                  <c:v>Xinminosaurus catactes-245Ma</c:v>
                </c:pt>
                <c:pt idx="45">
                  <c:v>Toretocnemus californicus-230Ma</c:v>
                </c:pt>
                <c:pt idx="46">
                  <c:v>Chaohusaurus chaoxianensis-245Ma</c:v>
                </c:pt>
                <c:pt idx="47">
                  <c:v>Phalarodon callawayi-245Ma</c:v>
                </c:pt>
                <c:pt idx="48">
                  <c:v>Chaohusaurus geishanensis-245Ma</c:v>
                </c:pt>
                <c:pt idx="49">
                  <c:v>Sclerocormus parviceps-245Ma</c:v>
                </c:pt>
                <c:pt idx="50">
                  <c:v>Cartorhynchus lenticarpus-245Ma</c:v>
                </c:pt>
                <c:pt idx="51">
                  <c:v>Barracudasauroides panxianensis-245Ma</c:v>
                </c:pt>
                <c:pt idx="52">
                  <c:v>Shastasaurus liangae-235Ma</c:v>
                </c:pt>
                <c:pt idx="53">
                  <c:v>Shastasaurus tangae-235Ma</c:v>
                </c:pt>
                <c:pt idx="54">
                  <c:v>Callarwayia wolongganagense-235Ma</c:v>
                </c:pt>
                <c:pt idx="55">
                  <c:v>Qianichthyosaurus zhoui-235Ma</c:v>
                </c:pt>
                <c:pt idx="56">
                  <c:v>Qianichthyosaurus xingyiensis-235Ma</c:v>
                </c:pt>
              </c:strCache>
            </c:strRef>
          </c:cat>
          <c:val>
            <c:numRef>
              <c:f>'Low Fat Mass Results'!$J$99:$J$155</c:f>
              <c:numCache>
                <c:formatCode>General</c:formatCode>
                <c:ptCount val="57"/>
                <c:pt idx="0">
                  <c:v>98</c:v>
                </c:pt>
                <c:pt idx="1">
                  <c:v>92</c:v>
                </c:pt>
                <c:pt idx="2">
                  <c:v>89.5</c:v>
                </c:pt>
                <c:pt idx="3">
                  <c:v>92.5</c:v>
                </c:pt>
                <c:pt idx="4">
                  <c:v>75</c:v>
                </c:pt>
                <c:pt idx="5">
                  <c:v>76.5</c:v>
                </c:pt>
                <c:pt idx="6">
                  <c:v>75</c:v>
                </c:pt>
                <c:pt idx="7">
                  <c:v>79</c:v>
                </c:pt>
                <c:pt idx="8">
                  <c:v>84</c:v>
                </c:pt>
                <c:pt idx="9">
                  <c:v>93</c:v>
                </c:pt>
                <c:pt idx="10">
                  <c:v>93.5</c:v>
                </c:pt>
                <c:pt idx="11">
                  <c:v>93</c:v>
                </c:pt>
                <c:pt idx="12">
                  <c:v>52</c:v>
                </c:pt>
                <c:pt idx="13">
                  <c:v>76.5</c:v>
                </c:pt>
                <c:pt idx="14">
                  <c:v>74.5</c:v>
                </c:pt>
                <c:pt idx="15">
                  <c:v>82</c:v>
                </c:pt>
                <c:pt idx="16">
                  <c:v>95.5</c:v>
                </c:pt>
                <c:pt idx="17">
                  <c:v>78</c:v>
                </c:pt>
                <c:pt idx="18">
                  <c:v>92.5</c:v>
                </c:pt>
                <c:pt idx="19">
                  <c:v>80.5</c:v>
                </c:pt>
                <c:pt idx="20">
                  <c:v>51.5</c:v>
                </c:pt>
                <c:pt idx="21">
                  <c:v>90.5</c:v>
                </c:pt>
                <c:pt idx="22">
                  <c:v>99.5</c:v>
                </c:pt>
                <c:pt idx="23">
                  <c:v>81.5</c:v>
                </c:pt>
                <c:pt idx="24">
                  <c:v>93.5</c:v>
                </c:pt>
                <c:pt idx="25">
                  <c:v>94</c:v>
                </c:pt>
                <c:pt idx="26">
                  <c:v>99</c:v>
                </c:pt>
                <c:pt idx="27">
                  <c:v>92.5</c:v>
                </c:pt>
                <c:pt idx="28">
                  <c:v>99</c:v>
                </c:pt>
                <c:pt idx="29">
                  <c:v>96</c:v>
                </c:pt>
                <c:pt idx="30">
                  <c:v>96.5</c:v>
                </c:pt>
                <c:pt idx="31">
                  <c:v>99</c:v>
                </c:pt>
                <c:pt idx="32">
                  <c:v>85</c:v>
                </c:pt>
                <c:pt idx="33">
                  <c:v>96.5</c:v>
                </c:pt>
                <c:pt idx="34">
                  <c:v>97</c:v>
                </c:pt>
                <c:pt idx="35">
                  <c:v>88.5</c:v>
                </c:pt>
                <c:pt idx="36">
                  <c:v>80</c:v>
                </c:pt>
                <c:pt idx="37">
                  <c:v>81.5</c:v>
                </c:pt>
                <c:pt idx="38">
                  <c:v>98.5</c:v>
                </c:pt>
                <c:pt idx="39">
                  <c:v>84</c:v>
                </c:pt>
                <c:pt idx="40">
                  <c:v>75</c:v>
                </c:pt>
                <c:pt idx="41">
                  <c:v>93.5</c:v>
                </c:pt>
                <c:pt idx="42">
                  <c:v>94</c:v>
                </c:pt>
                <c:pt idx="43">
                  <c:v>72.5</c:v>
                </c:pt>
                <c:pt idx="44">
                  <c:v>73.5</c:v>
                </c:pt>
                <c:pt idx="45">
                  <c:v>89</c:v>
                </c:pt>
                <c:pt idx="46">
                  <c:v>73</c:v>
                </c:pt>
                <c:pt idx="47">
                  <c:v>87.5</c:v>
                </c:pt>
                <c:pt idx="48">
                  <c:v>79</c:v>
                </c:pt>
                <c:pt idx="49">
                  <c:v>72.5</c:v>
                </c:pt>
                <c:pt idx="50">
                  <c:v>52</c:v>
                </c:pt>
                <c:pt idx="51">
                  <c:v>55.5</c:v>
                </c:pt>
                <c:pt idx="52">
                  <c:v>81.5</c:v>
                </c:pt>
                <c:pt idx="53">
                  <c:v>85.5</c:v>
                </c:pt>
                <c:pt idx="54">
                  <c:v>47.5</c:v>
                </c:pt>
                <c:pt idx="55">
                  <c:v>45</c:v>
                </c:pt>
                <c:pt idx="56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9-4FF2-A541-F95FD1A97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299872"/>
        <c:axId val="340314752"/>
      </c:radarChart>
      <c:catAx>
        <c:axId val="34029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0314752"/>
        <c:crosses val="autoZero"/>
        <c:auto val="1"/>
        <c:lblAlgn val="ctr"/>
        <c:lblOffset val="100"/>
        <c:noMultiLvlLbl val="0"/>
      </c:catAx>
      <c:valAx>
        <c:axId val="34031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029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'Low Fat Mass Results'!$B$157:$B$190</c:f>
              <c:strCache>
                <c:ptCount val="34"/>
                <c:pt idx="0">
                  <c:v>Cyamodus hildegardis-245Ma</c:v>
                </c:pt>
                <c:pt idx="1">
                  <c:v>Paraplacodus broilli-245Ma</c:v>
                </c:pt>
                <c:pt idx="2">
                  <c:v>Helveticosaurus zollingeri-240Ma</c:v>
                </c:pt>
                <c:pt idx="3">
                  <c:v>Cyamodus rostratus-240Ma</c:v>
                </c:pt>
                <c:pt idx="4">
                  <c:v>Cyamodus kuhnschnyderi-240Ma</c:v>
                </c:pt>
                <c:pt idx="5">
                  <c:v>Cyamodus muensteri-240Ma</c:v>
                </c:pt>
                <c:pt idx="6">
                  <c:v>Henodus chelyops-240Ma</c:v>
                </c:pt>
                <c:pt idx="7">
                  <c:v>Helveticosaurus zollingeri-245Ma</c:v>
                </c:pt>
                <c:pt idx="8">
                  <c:v>Placochelys placodonta-240Ma</c:v>
                </c:pt>
                <c:pt idx="9">
                  <c:v>Eusaurosphargis dalsassoi-245Ma</c:v>
                </c:pt>
                <c:pt idx="10">
                  <c:v>Placodus gigas-240Ma</c:v>
                </c:pt>
                <c:pt idx="11">
                  <c:v>Psephosauriscus rhombifer-240Ma</c:v>
                </c:pt>
                <c:pt idx="12">
                  <c:v>Psephosauriscus mosis-245Ma</c:v>
                </c:pt>
                <c:pt idx="13">
                  <c:v>Psephosauriscus ramonensis-245Ma</c:v>
                </c:pt>
                <c:pt idx="14">
                  <c:v>Psephosauriscus sinaiticus-245Ma</c:v>
                </c:pt>
                <c:pt idx="15">
                  <c:v>Pararcus diepenbroek-240Ma</c:v>
                </c:pt>
                <c:pt idx="16">
                  <c:v>Atopodentatus unicus-245Ma</c:v>
                </c:pt>
                <c:pt idx="17">
                  <c:v>Psephoderma alpinum-215Ma</c:v>
                </c:pt>
                <c:pt idx="18">
                  <c:v>Psephoderma alpinum-20Ma5Ma</c:v>
                </c:pt>
                <c:pt idx="19">
                  <c:v>Glyphoderma kangi-240Ma</c:v>
                </c:pt>
                <c:pt idx="20">
                  <c:v>Psephoderma alpinum-210Ma</c:v>
                </c:pt>
                <c:pt idx="21">
                  <c:v>Henodus chelyops-235Ma</c:v>
                </c:pt>
                <c:pt idx="22">
                  <c:v>Macroplacus raeticus-20Ma5Ma</c:v>
                </c:pt>
                <c:pt idx="23">
                  <c:v>Pararcus diepenbroek-245Ma</c:v>
                </c:pt>
                <c:pt idx="24">
                  <c:v>Placochelys placodonta-235Ma</c:v>
                </c:pt>
                <c:pt idx="25">
                  <c:v>Placodus inexpectatus-245Ma</c:v>
                </c:pt>
                <c:pt idx="26">
                  <c:v>Placodus gigas-245Ma</c:v>
                </c:pt>
                <c:pt idx="27">
                  <c:v>Cyamodus muensteri-245Ma</c:v>
                </c:pt>
                <c:pt idx="28">
                  <c:v>Cyamodus rostratus-245Ma</c:v>
                </c:pt>
                <c:pt idx="29">
                  <c:v>Palatodonta bleekeri--245Ma</c:v>
                </c:pt>
                <c:pt idx="30">
                  <c:v>Cyamodus orientalis-235Ma</c:v>
                </c:pt>
                <c:pt idx="31">
                  <c:v>Glyphoderma kangi-235Ma</c:v>
                </c:pt>
                <c:pt idx="32">
                  <c:v>Sinocyamodus xinpuensis-235Ma</c:v>
                </c:pt>
                <c:pt idx="33">
                  <c:v>Psephochelys polyosteoderma-235Ma</c:v>
                </c:pt>
              </c:strCache>
            </c:strRef>
          </c:cat>
          <c:val>
            <c:numRef>
              <c:f>'Low Fat Mass Results'!$J$157:$J$190</c:f>
              <c:numCache>
                <c:formatCode>General</c:formatCode>
                <c:ptCount val="34"/>
                <c:pt idx="0">
                  <c:v>90</c:v>
                </c:pt>
                <c:pt idx="1">
                  <c:v>86</c:v>
                </c:pt>
                <c:pt idx="2">
                  <c:v>87.5</c:v>
                </c:pt>
                <c:pt idx="3">
                  <c:v>80</c:v>
                </c:pt>
                <c:pt idx="4">
                  <c:v>75</c:v>
                </c:pt>
                <c:pt idx="5">
                  <c:v>77</c:v>
                </c:pt>
                <c:pt idx="6">
                  <c:v>78</c:v>
                </c:pt>
                <c:pt idx="7">
                  <c:v>92.5</c:v>
                </c:pt>
                <c:pt idx="8">
                  <c:v>68.5</c:v>
                </c:pt>
                <c:pt idx="9">
                  <c:v>0</c:v>
                </c:pt>
                <c:pt idx="10">
                  <c:v>72</c:v>
                </c:pt>
                <c:pt idx="11">
                  <c:v>33</c:v>
                </c:pt>
                <c:pt idx="12">
                  <c:v>71.5</c:v>
                </c:pt>
                <c:pt idx="13">
                  <c:v>74</c:v>
                </c:pt>
                <c:pt idx="14">
                  <c:v>73</c:v>
                </c:pt>
                <c:pt idx="15">
                  <c:v>65.5</c:v>
                </c:pt>
                <c:pt idx="16">
                  <c:v>92</c:v>
                </c:pt>
                <c:pt idx="17">
                  <c:v>90.5</c:v>
                </c:pt>
                <c:pt idx="18">
                  <c:v>90.5</c:v>
                </c:pt>
                <c:pt idx="19">
                  <c:v>83</c:v>
                </c:pt>
                <c:pt idx="20">
                  <c:v>89.5</c:v>
                </c:pt>
                <c:pt idx="21">
                  <c:v>58.5</c:v>
                </c:pt>
                <c:pt idx="22">
                  <c:v>67.5</c:v>
                </c:pt>
                <c:pt idx="23">
                  <c:v>58.5</c:v>
                </c:pt>
                <c:pt idx="24">
                  <c:v>50.5</c:v>
                </c:pt>
                <c:pt idx="25">
                  <c:v>74</c:v>
                </c:pt>
                <c:pt idx="26">
                  <c:v>63</c:v>
                </c:pt>
                <c:pt idx="27">
                  <c:v>55</c:v>
                </c:pt>
                <c:pt idx="28">
                  <c:v>56.5</c:v>
                </c:pt>
                <c:pt idx="29">
                  <c:v>58.5</c:v>
                </c:pt>
                <c:pt idx="30">
                  <c:v>48</c:v>
                </c:pt>
                <c:pt idx="31">
                  <c:v>44.5</c:v>
                </c:pt>
                <c:pt idx="32">
                  <c:v>42.5</c:v>
                </c:pt>
                <c:pt idx="33">
                  <c:v>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8-460C-BC58-6A59F37EB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69680"/>
        <c:axId val="69564400"/>
      </c:radarChart>
      <c:catAx>
        <c:axId val="6956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564400"/>
        <c:crosses val="autoZero"/>
        <c:auto val="1"/>
        <c:lblAlgn val="ctr"/>
        <c:lblOffset val="100"/>
        <c:noMultiLvlLbl val="0"/>
      </c:catAx>
      <c:valAx>
        <c:axId val="6956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56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373601520117233E-2"/>
          <c:y val="2.872835945964524E-2"/>
          <c:w val="0.94283367154363773"/>
          <c:h val="0.6496231741469922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'Low Fat Mass Results'!$G$3</c:f>
              <c:strCache>
                <c:ptCount val="1"/>
                <c:pt idx="0">
                  <c:v>Average migration distance (km/Agent)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'Low Fat Mass Results'!$B$4:$B$60</c:f>
              <c:strCache>
                <c:ptCount val="57"/>
                <c:pt idx="0">
                  <c:v>Utatsusaurus hataii-245Ma</c:v>
                </c:pt>
                <c:pt idx="1">
                  <c:v>Shastasaurus pacificus-235Ma</c:v>
                </c:pt>
                <c:pt idx="2">
                  <c:v>Omphalosaurus wolfi-240Ma</c:v>
                </c:pt>
                <c:pt idx="3">
                  <c:v>Cymbospondylus nichollsi-240Ma.xlsx</c:v>
                </c:pt>
                <c:pt idx="4">
                  <c:v>Cymbospondylus duelferi-240Ma</c:v>
                </c:pt>
                <c:pt idx="5">
                  <c:v>Mixosaurus cornalianus-245Ma</c:v>
                </c:pt>
                <c:pt idx="6">
                  <c:v>Cymbospondylus piscosus-240Ma</c:v>
                </c:pt>
                <c:pt idx="7">
                  <c:v>Mikadocephalus gracilirostris-245Ma</c:v>
                </c:pt>
                <c:pt idx="8">
                  <c:v>Cymbospondylus buchseri-240Ma</c:v>
                </c:pt>
                <c:pt idx="9">
                  <c:v>Cymbospondylus buchseri-245Ma</c:v>
                </c:pt>
                <c:pt idx="10">
                  <c:v>Cymbospondylus piscosus-245Ma</c:v>
                </c:pt>
                <c:pt idx="11">
                  <c:v>Thalattoarchon saurophagis-245Ma</c:v>
                </c:pt>
                <c:pt idx="12">
                  <c:v>Besanosaurus leptorhynchus-240Ma</c:v>
                </c:pt>
                <c:pt idx="13">
                  <c:v>Himalayasaurus tibetensis-220Ma</c:v>
                </c:pt>
                <c:pt idx="14">
                  <c:v>Mikadocephalus gracilirostris-240Ma</c:v>
                </c:pt>
                <c:pt idx="15">
                  <c:v>Phalarodon atavus-245Ma</c:v>
                </c:pt>
                <c:pt idx="16">
                  <c:v>Mixosaurus cornalianus-240Ma</c:v>
                </c:pt>
                <c:pt idx="17">
                  <c:v>Cymbospondylus nichollsi-245Ma</c:v>
                </c:pt>
                <c:pt idx="18">
                  <c:v>Shonisaurus popularis-230Ma</c:v>
                </c:pt>
                <c:pt idx="19">
                  <c:v>Besanosaurus leptorhynchus-245Ma</c:v>
                </c:pt>
                <c:pt idx="20">
                  <c:v>Macgowania janiceps-220Ma</c:v>
                </c:pt>
                <c:pt idx="21">
                  <c:v>Himalayasaurus tibetensis-215Ma</c:v>
                </c:pt>
                <c:pt idx="22">
                  <c:v>Shastasaurus tangae-230Ma</c:v>
                </c:pt>
                <c:pt idx="23">
                  <c:v>Shastasaurus pacificus-230Ma</c:v>
                </c:pt>
                <c:pt idx="24">
                  <c:v>Phalarodon callawayi-240Ma</c:v>
                </c:pt>
                <c:pt idx="25">
                  <c:v>Phalarodon fraasi-245Ma</c:v>
                </c:pt>
                <c:pt idx="26">
                  <c:v>Omphalosaurus nevadanus-245Ma</c:v>
                </c:pt>
                <c:pt idx="27">
                  <c:v>Cymbospondylus duelferi-245Ma</c:v>
                </c:pt>
                <c:pt idx="28">
                  <c:v>Thaisaurus chonglakmanii-245Ma</c:v>
                </c:pt>
                <c:pt idx="29">
                  <c:v>Parvinatator wapitiensis-245Ma</c:v>
                </c:pt>
                <c:pt idx="30">
                  <c:v>Phalarodon fraasi-240Ma</c:v>
                </c:pt>
                <c:pt idx="31">
                  <c:v>Callarwayia wolongganagense-230Ma</c:v>
                </c:pt>
                <c:pt idx="32">
                  <c:v>Hudsonelpidia brevirostris-225Ma</c:v>
                </c:pt>
                <c:pt idx="33">
                  <c:v>Gulosaurus helmi-245Ma</c:v>
                </c:pt>
                <c:pt idx="34">
                  <c:v>Parvinatator wapitiensis-240Ma</c:v>
                </c:pt>
                <c:pt idx="35">
                  <c:v>Shastasaurus sikanniensis-215Ma</c:v>
                </c:pt>
                <c:pt idx="36">
                  <c:v>Hudsonelpidia brevirostris-220Ma</c:v>
                </c:pt>
                <c:pt idx="37">
                  <c:v>Californosaurus perrini-230Ma</c:v>
                </c:pt>
                <c:pt idx="38">
                  <c:v>Callawayia neoscapularis-220Ma</c:v>
                </c:pt>
                <c:pt idx="39">
                  <c:v>Phantomosaurus neubigi-245Ma</c:v>
                </c:pt>
                <c:pt idx="40">
                  <c:v>Grippia longirostris-245Ma</c:v>
                </c:pt>
                <c:pt idx="41">
                  <c:v>Toretocnemus californicus-230Ma</c:v>
                </c:pt>
                <c:pt idx="42">
                  <c:v>Phalarodon callawayi-245Ma</c:v>
                </c:pt>
                <c:pt idx="43">
                  <c:v>Toretocnemus zitteli-230Ma</c:v>
                </c:pt>
                <c:pt idx="44">
                  <c:v>Shastasaurus liangae-235Ma</c:v>
                </c:pt>
                <c:pt idx="45">
                  <c:v>Xinminosaurus catactes-245Ma</c:v>
                </c:pt>
                <c:pt idx="46">
                  <c:v>Shastasaurus tangae-235Ma</c:v>
                </c:pt>
                <c:pt idx="47">
                  <c:v>Quasianosteosaurus vikinghoegdai-245Ma</c:v>
                </c:pt>
                <c:pt idx="48">
                  <c:v>Chaohusaurus geishanensis-245Ma</c:v>
                </c:pt>
                <c:pt idx="49">
                  <c:v>Chaohusaurus zhangjiawanensis-245Ma</c:v>
                </c:pt>
                <c:pt idx="50">
                  <c:v>Sclerocormus parviceps-245Ma</c:v>
                </c:pt>
                <c:pt idx="51">
                  <c:v>Chaohusaurus chaoxianensis-245Ma</c:v>
                </c:pt>
                <c:pt idx="52">
                  <c:v>Barracudasauroides panxianensis-245Ma</c:v>
                </c:pt>
                <c:pt idx="53">
                  <c:v>Cartorhynchus lenticarpus-245Ma</c:v>
                </c:pt>
                <c:pt idx="54">
                  <c:v>Qianichthyosaurus zhoui-235Ma</c:v>
                </c:pt>
                <c:pt idx="55">
                  <c:v>Qianichthyosaurus xingyiensis-235Ma</c:v>
                </c:pt>
                <c:pt idx="56">
                  <c:v>Callarwayia wolongganagense-235Ma</c:v>
                </c:pt>
              </c:strCache>
            </c:strRef>
          </c:cat>
          <c:val>
            <c:numRef>
              <c:f>'Low Fat Mass Results'!$G$4:$G$60</c:f>
              <c:numCache>
                <c:formatCode>General</c:formatCode>
                <c:ptCount val="57"/>
                <c:pt idx="0">
                  <c:v>6372.1865850000004</c:v>
                </c:pt>
                <c:pt idx="1">
                  <c:v>4606.0726519999998</c:v>
                </c:pt>
                <c:pt idx="2">
                  <c:v>4565.4113742000009</c:v>
                </c:pt>
                <c:pt idx="3">
                  <c:v>4539.3942913000001</c:v>
                </c:pt>
                <c:pt idx="4">
                  <c:v>4477.8340904999995</c:v>
                </c:pt>
                <c:pt idx="5">
                  <c:v>4290.9117845999999</c:v>
                </c:pt>
                <c:pt idx="6">
                  <c:v>4235.0612787</c:v>
                </c:pt>
                <c:pt idx="7">
                  <c:v>4188.7926926</c:v>
                </c:pt>
                <c:pt idx="8">
                  <c:v>4168.9231202000001</c:v>
                </c:pt>
                <c:pt idx="9">
                  <c:v>4163.8122948999999</c:v>
                </c:pt>
                <c:pt idx="10">
                  <c:v>4151.5467441999999</c:v>
                </c:pt>
                <c:pt idx="11">
                  <c:v>3914.2968111999999</c:v>
                </c:pt>
                <c:pt idx="12">
                  <c:v>3843.2106767999999</c:v>
                </c:pt>
                <c:pt idx="13">
                  <c:v>3747.0107492000002</c:v>
                </c:pt>
                <c:pt idx="14">
                  <c:v>3658.6896717999998</c:v>
                </c:pt>
                <c:pt idx="15">
                  <c:v>3645.9700699999999</c:v>
                </c:pt>
                <c:pt idx="16">
                  <c:v>3437.6000614</c:v>
                </c:pt>
                <c:pt idx="17">
                  <c:v>3327.9926148</c:v>
                </c:pt>
                <c:pt idx="18">
                  <c:v>3222.7910843999998</c:v>
                </c:pt>
                <c:pt idx="19">
                  <c:v>3207.4029092999999</c:v>
                </c:pt>
                <c:pt idx="20">
                  <c:v>3059.9065703000001</c:v>
                </c:pt>
                <c:pt idx="21">
                  <c:v>2573.5123282999998</c:v>
                </c:pt>
                <c:pt idx="22">
                  <c:v>2561.0004386999999</c:v>
                </c:pt>
                <c:pt idx="23">
                  <c:v>2437.0619962999999</c:v>
                </c:pt>
                <c:pt idx="24">
                  <c:v>2417.5474696000001</c:v>
                </c:pt>
                <c:pt idx="25">
                  <c:v>2303.7059408</c:v>
                </c:pt>
                <c:pt idx="26">
                  <c:v>2294.8041886000001</c:v>
                </c:pt>
                <c:pt idx="27">
                  <c:v>2263.1064888000001</c:v>
                </c:pt>
                <c:pt idx="28">
                  <c:v>2116.9191854999999</c:v>
                </c:pt>
                <c:pt idx="29">
                  <c:v>1988.4129516999999</c:v>
                </c:pt>
                <c:pt idx="30">
                  <c:v>1966.3035009</c:v>
                </c:pt>
                <c:pt idx="31">
                  <c:v>1934.3494224999999</c:v>
                </c:pt>
                <c:pt idx="32">
                  <c:v>1817.0735738999999</c:v>
                </c:pt>
                <c:pt idx="33">
                  <c:v>1814.2038107999999</c:v>
                </c:pt>
                <c:pt idx="34">
                  <c:v>1772.0941539</c:v>
                </c:pt>
                <c:pt idx="35">
                  <c:v>1748.4485265999999</c:v>
                </c:pt>
                <c:pt idx="36">
                  <c:v>1746.3735494</c:v>
                </c:pt>
                <c:pt idx="37">
                  <c:v>1646.2203867999999</c:v>
                </c:pt>
                <c:pt idx="38">
                  <c:v>1617.4681740999999</c:v>
                </c:pt>
                <c:pt idx="39">
                  <c:v>1597.8025352</c:v>
                </c:pt>
                <c:pt idx="40">
                  <c:v>1397.2090562000001</c:v>
                </c:pt>
                <c:pt idx="41">
                  <c:v>1297.7049009</c:v>
                </c:pt>
                <c:pt idx="42">
                  <c:v>1296.6571062999999</c:v>
                </c:pt>
                <c:pt idx="43">
                  <c:v>1143.2932777000001</c:v>
                </c:pt>
                <c:pt idx="44">
                  <c:v>1107.8581114999999</c:v>
                </c:pt>
                <c:pt idx="45">
                  <c:v>1100.8075021</c:v>
                </c:pt>
                <c:pt idx="46">
                  <c:v>1082.3351109</c:v>
                </c:pt>
                <c:pt idx="47">
                  <c:v>1066.6257542999999</c:v>
                </c:pt>
                <c:pt idx="48">
                  <c:v>880.1809803000001</c:v>
                </c:pt>
                <c:pt idx="49">
                  <c:v>809.68933849999996</c:v>
                </c:pt>
                <c:pt idx="50">
                  <c:v>772.7886436</c:v>
                </c:pt>
                <c:pt idx="51">
                  <c:v>743.00029140000004</c:v>
                </c:pt>
                <c:pt idx="52">
                  <c:v>691.07748199999992</c:v>
                </c:pt>
                <c:pt idx="53">
                  <c:v>620.17344279999998</c:v>
                </c:pt>
                <c:pt idx="54">
                  <c:v>535.54263970000011</c:v>
                </c:pt>
                <c:pt idx="55">
                  <c:v>513.38455699999997</c:v>
                </c:pt>
                <c:pt idx="56">
                  <c:v>474.64465050000001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5A-4408-9F30-2EC5A2A08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9848431"/>
        <c:axId val="269853711"/>
      </c:barChart>
      <c:lineChart>
        <c:grouping val="standard"/>
        <c:varyColors val="0"/>
        <c:ser>
          <c:idx val="0"/>
          <c:order val="0"/>
          <c:tx>
            <c:strRef>
              <c:f>'Low Fat Mass Results'!$C$3</c:f>
              <c:strCache>
                <c:ptCount val="1"/>
                <c:pt idx="0">
                  <c:v>Body length(m)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'Low Fat Mass Results'!$B$4:$B$60</c:f>
              <c:strCache>
                <c:ptCount val="57"/>
                <c:pt idx="0">
                  <c:v>Utatsusaurus hataii-245Ma</c:v>
                </c:pt>
                <c:pt idx="1">
                  <c:v>Shastasaurus pacificus-235Ma</c:v>
                </c:pt>
                <c:pt idx="2">
                  <c:v>Omphalosaurus wolfi-240Ma</c:v>
                </c:pt>
                <c:pt idx="3">
                  <c:v>Cymbospondylus nichollsi-240Ma.xlsx</c:v>
                </c:pt>
                <c:pt idx="4">
                  <c:v>Cymbospondylus duelferi-240Ma</c:v>
                </c:pt>
                <c:pt idx="5">
                  <c:v>Mixosaurus cornalianus-245Ma</c:v>
                </c:pt>
                <c:pt idx="6">
                  <c:v>Cymbospondylus piscosus-240Ma</c:v>
                </c:pt>
                <c:pt idx="7">
                  <c:v>Mikadocephalus gracilirostris-245Ma</c:v>
                </c:pt>
                <c:pt idx="8">
                  <c:v>Cymbospondylus buchseri-240Ma</c:v>
                </c:pt>
                <c:pt idx="9">
                  <c:v>Cymbospondylus buchseri-245Ma</c:v>
                </c:pt>
                <c:pt idx="10">
                  <c:v>Cymbospondylus piscosus-245Ma</c:v>
                </c:pt>
                <c:pt idx="11">
                  <c:v>Thalattoarchon saurophagis-245Ma</c:v>
                </c:pt>
                <c:pt idx="12">
                  <c:v>Besanosaurus leptorhynchus-240Ma</c:v>
                </c:pt>
                <c:pt idx="13">
                  <c:v>Himalayasaurus tibetensis-220Ma</c:v>
                </c:pt>
                <c:pt idx="14">
                  <c:v>Mikadocephalus gracilirostris-240Ma</c:v>
                </c:pt>
                <c:pt idx="15">
                  <c:v>Phalarodon atavus-245Ma</c:v>
                </c:pt>
                <c:pt idx="16">
                  <c:v>Mixosaurus cornalianus-240Ma</c:v>
                </c:pt>
                <c:pt idx="17">
                  <c:v>Cymbospondylus nichollsi-245Ma</c:v>
                </c:pt>
                <c:pt idx="18">
                  <c:v>Shonisaurus popularis-230Ma</c:v>
                </c:pt>
                <c:pt idx="19">
                  <c:v>Besanosaurus leptorhynchus-245Ma</c:v>
                </c:pt>
                <c:pt idx="20">
                  <c:v>Macgowania janiceps-220Ma</c:v>
                </c:pt>
                <c:pt idx="21">
                  <c:v>Himalayasaurus tibetensis-215Ma</c:v>
                </c:pt>
                <c:pt idx="22">
                  <c:v>Shastasaurus tangae-230Ma</c:v>
                </c:pt>
                <c:pt idx="23">
                  <c:v>Shastasaurus pacificus-230Ma</c:v>
                </c:pt>
                <c:pt idx="24">
                  <c:v>Phalarodon callawayi-240Ma</c:v>
                </c:pt>
                <c:pt idx="25">
                  <c:v>Phalarodon fraasi-245Ma</c:v>
                </c:pt>
                <c:pt idx="26">
                  <c:v>Omphalosaurus nevadanus-245Ma</c:v>
                </c:pt>
                <c:pt idx="27">
                  <c:v>Cymbospondylus duelferi-245Ma</c:v>
                </c:pt>
                <c:pt idx="28">
                  <c:v>Thaisaurus chonglakmanii-245Ma</c:v>
                </c:pt>
                <c:pt idx="29">
                  <c:v>Parvinatator wapitiensis-245Ma</c:v>
                </c:pt>
                <c:pt idx="30">
                  <c:v>Phalarodon fraasi-240Ma</c:v>
                </c:pt>
                <c:pt idx="31">
                  <c:v>Callarwayia wolongganagense-230Ma</c:v>
                </c:pt>
                <c:pt idx="32">
                  <c:v>Hudsonelpidia brevirostris-225Ma</c:v>
                </c:pt>
                <c:pt idx="33">
                  <c:v>Gulosaurus helmi-245Ma</c:v>
                </c:pt>
                <c:pt idx="34">
                  <c:v>Parvinatator wapitiensis-240Ma</c:v>
                </c:pt>
                <c:pt idx="35">
                  <c:v>Shastasaurus sikanniensis-215Ma</c:v>
                </c:pt>
                <c:pt idx="36">
                  <c:v>Hudsonelpidia brevirostris-220Ma</c:v>
                </c:pt>
                <c:pt idx="37">
                  <c:v>Californosaurus perrini-230Ma</c:v>
                </c:pt>
                <c:pt idx="38">
                  <c:v>Callawayia neoscapularis-220Ma</c:v>
                </c:pt>
                <c:pt idx="39">
                  <c:v>Phantomosaurus neubigi-245Ma</c:v>
                </c:pt>
                <c:pt idx="40">
                  <c:v>Grippia longirostris-245Ma</c:v>
                </c:pt>
                <c:pt idx="41">
                  <c:v>Toretocnemus californicus-230Ma</c:v>
                </c:pt>
                <c:pt idx="42">
                  <c:v>Phalarodon callawayi-245Ma</c:v>
                </c:pt>
                <c:pt idx="43">
                  <c:v>Toretocnemus zitteli-230Ma</c:v>
                </c:pt>
                <c:pt idx="44">
                  <c:v>Shastasaurus liangae-235Ma</c:v>
                </c:pt>
                <c:pt idx="45">
                  <c:v>Xinminosaurus catactes-245Ma</c:v>
                </c:pt>
                <c:pt idx="46">
                  <c:v>Shastasaurus tangae-235Ma</c:v>
                </c:pt>
                <c:pt idx="47">
                  <c:v>Quasianosteosaurus vikinghoegdai-245Ma</c:v>
                </c:pt>
                <c:pt idx="48">
                  <c:v>Chaohusaurus geishanensis-245Ma</c:v>
                </c:pt>
                <c:pt idx="49">
                  <c:v>Chaohusaurus zhangjiawanensis-245Ma</c:v>
                </c:pt>
                <c:pt idx="50">
                  <c:v>Sclerocormus parviceps-245Ma</c:v>
                </c:pt>
                <c:pt idx="51">
                  <c:v>Chaohusaurus chaoxianensis-245Ma</c:v>
                </c:pt>
                <c:pt idx="52">
                  <c:v>Barracudasauroides panxianensis-245Ma</c:v>
                </c:pt>
                <c:pt idx="53">
                  <c:v>Cartorhynchus lenticarpus-245Ma</c:v>
                </c:pt>
                <c:pt idx="54">
                  <c:v>Qianichthyosaurus zhoui-235Ma</c:v>
                </c:pt>
                <c:pt idx="55">
                  <c:v>Qianichthyosaurus xingyiensis-235Ma</c:v>
                </c:pt>
                <c:pt idx="56">
                  <c:v>Callarwayia wolongganagense-235Ma</c:v>
                </c:pt>
              </c:strCache>
            </c:strRef>
          </c:cat>
          <c:val>
            <c:numRef>
              <c:f>'Low Fat Mass Results'!$C$4:$C$60</c:f>
              <c:numCache>
                <c:formatCode>General</c:formatCode>
                <c:ptCount val="57"/>
                <c:pt idx="0">
                  <c:v>3</c:v>
                </c:pt>
                <c:pt idx="1">
                  <c:v>21</c:v>
                </c:pt>
                <c:pt idx="2">
                  <c:v>1</c:v>
                </c:pt>
                <c:pt idx="3">
                  <c:v>4.3</c:v>
                </c:pt>
                <c:pt idx="4">
                  <c:v>5.5</c:v>
                </c:pt>
                <c:pt idx="5">
                  <c:v>2</c:v>
                </c:pt>
                <c:pt idx="6">
                  <c:v>7.6</c:v>
                </c:pt>
                <c:pt idx="7">
                  <c:v>1.5</c:v>
                </c:pt>
                <c:pt idx="8">
                  <c:v>2</c:v>
                </c:pt>
                <c:pt idx="9">
                  <c:v>2</c:v>
                </c:pt>
                <c:pt idx="10">
                  <c:v>7.6</c:v>
                </c:pt>
                <c:pt idx="11">
                  <c:v>8.6</c:v>
                </c:pt>
                <c:pt idx="12">
                  <c:v>8</c:v>
                </c:pt>
                <c:pt idx="13">
                  <c:v>1.5</c:v>
                </c:pt>
                <c:pt idx="14">
                  <c:v>3</c:v>
                </c:pt>
                <c:pt idx="15">
                  <c:v>1.5</c:v>
                </c:pt>
                <c:pt idx="16">
                  <c:v>1.5</c:v>
                </c:pt>
                <c:pt idx="17">
                  <c:v>4.3</c:v>
                </c:pt>
                <c:pt idx="18">
                  <c:v>1.5</c:v>
                </c:pt>
                <c:pt idx="19">
                  <c:v>8</c:v>
                </c:pt>
                <c:pt idx="20">
                  <c:v>3</c:v>
                </c:pt>
                <c:pt idx="21">
                  <c:v>1.5</c:v>
                </c:pt>
                <c:pt idx="22">
                  <c:v>10</c:v>
                </c:pt>
                <c:pt idx="23">
                  <c:v>7</c:v>
                </c:pt>
                <c:pt idx="24">
                  <c:v>1.5</c:v>
                </c:pt>
                <c:pt idx="25">
                  <c:v>5</c:v>
                </c:pt>
                <c:pt idx="26">
                  <c:v>3.5</c:v>
                </c:pt>
                <c:pt idx="27">
                  <c:v>5.5</c:v>
                </c:pt>
                <c:pt idx="28">
                  <c:v>3</c:v>
                </c:pt>
                <c:pt idx="29">
                  <c:v>1</c:v>
                </c:pt>
                <c:pt idx="30">
                  <c:v>1</c:v>
                </c:pt>
                <c:pt idx="31">
                  <c:v>3</c:v>
                </c:pt>
                <c:pt idx="32">
                  <c:v>15</c:v>
                </c:pt>
                <c:pt idx="33">
                  <c:v>18</c:v>
                </c:pt>
                <c:pt idx="34">
                  <c:v>1</c:v>
                </c:pt>
                <c:pt idx="35">
                  <c:v>10</c:v>
                </c:pt>
                <c:pt idx="36">
                  <c:v>15</c:v>
                </c:pt>
                <c:pt idx="37">
                  <c:v>3</c:v>
                </c:pt>
                <c:pt idx="38">
                  <c:v>2</c:v>
                </c:pt>
                <c:pt idx="39">
                  <c:v>1.3</c:v>
                </c:pt>
                <c:pt idx="40">
                  <c:v>18</c:v>
                </c:pt>
                <c:pt idx="41">
                  <c:v>1</c:v>
                </c:pt>
                <c:pt idx="42">
                  <c:v>1</c:v>
                </c:pt>
                <c:pt idx="43">
                  <c:v>2</c:v>
                </c:pt>
                <c:pt idx="44">
                  <c:v>7</c:v>
                </c:pt>
                <c:pt idx="45">
                  <c:v>2.2999999999999998</c:v>
                </c:pt>
                <c:pt idx="46">
                  <c:v>15</c:v>
                </c:pt>
                <c:pt idx="47">
                  <c:v>1.6</c:v>
                </c:pt>
                <c:pt idx="48">
                  <c:v>1.8</c:v>
                </c:pt>
                <c:pt idx="49">
                  <c:v>1</c:v>
                </c:pt>
                <c:pt idx="50">
                  <c:v>9.25</c:v>
                </c:pt>
                <c:pt idx="51">
                  <c:v>1.3</c:v>
                </c:pt>
                <c:pt idx="52">
                  <c:v>1</c:v>
                </c:pt>
                <c:pt idx="53">
                  <c:v>0.4</c:v>
                </c:pt>
                <c:pt idx="54">
                  <c:v>0.5</c:v>
                </c:pt>
                <c:pt idx="55">
                  <c:v>1.5</c:v>
                </c:pt>
                <c:pt idx="5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5A-4408-9F30-2EC5A2A084BE}"/>
            </c:ext>
          </c:extLst>
        </c:ser>
        <c:ser>
          <c:idx val="2"/>
          <c:order val="2"/>
          <c:tx>
            <c:strRef>
              <c:f>'Low Fat Mass Results'!$H$3</c:f>
              <c:strCache>
                <c:ptCount val="1"/>
                <c:pt idx="0">
                  <c:v>Average completion time (year/Agent)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'Low Fat Mass Results'!$B$4:$B$60</c:f>
              <c:strCache>
                <c:ptCount val="57"/>
                <c:pt idx="0">
                  <c:v>Utatsusaurus hataii-245Ma</c:v>
                </c:pt>
                <c:pt idx="1">
                  <c:v>Shastasaurus pacificus-235Ma</c:v>
                </c:pt>
                <c:pt idx="2">
                  <c:v>Omphalosaurus wolfi-240Ma</c:v>
                </c:pt>
                <c:pt idx="3">
                  <c:v>Cymbospondylus nichollsi-240Ma.xlsx</c:v>
                </c:pt>
                <c:pt idx="4">
                  <c:v>Cymbospondylus duelferi-240Ma</c:v>
                </c:pt>
                <c:pt idx="5">
                  <c:v>Mixosaurus cornalianus-245Ma</c:v>
                </c:pt>
                <c:pt idx="6">
                  <c:v>Cymbospondylus piscosus-240Ma</c:v>
                </c:pt>
                <c:pt idx="7">
                  <c:v>Mikadocephalus gracilirostris-245Ma</c:v>
                </c:pt>
                <c:pt idx="8">
                  <c:v>Cymbospondylus buchseri-240Ma</c:v>
                </c:pt>
                <c:pt idx="9">
                  <c:v>Cymbospondylus buchseri-245Ma</c:v>
                </c:pt>
                <c:pt idx="10">
                  <c:v>Cymbospondylus piscosus-245Ma</c:v>
                </c:pt>
                <c:pt idx="11">
                  <c:v>Thalattoarchon saurophagis-245Ma</c:v>
                </c:pt>
                <c:pt idx="12">
                  <c:v>Besanosaurus leptorhynchus-240Ma</c:v>
                </c:pt>
                <c:pt idx="13">
                  <c:v>Himalayasaurus tibetensis-220Ma</c:v>
                </c:pt>
                <c:pt idx="14">
                  <c:v>Mikadocephalus gracilirostris-240Ma</c:v>
                </c:pt>
                <c:pt idx="15">
                  <c:v>Phalarodon atavus-245Ma</c:v>
                </c:pt>
                <c:pt idx="16">
                  <c:v>Mixosaurus cornalianus-240Ma</c:v>
                </c:pt>
                <c:pt idx="17">
                  <c:v>Cymbospondylus nichollsi-245Ma</c:v>
                </c:pt>
                <c:pt idx="18">
                  <c:v>Shonisaurus popularis-230Ma</c:v>
                </c:pt>
                <c:pt idx="19">
                  <c:v>Besanosaurus leptorhynchus-245Ma</c:v>
                </c:pt>
                <c:pt idx="20">
                  <c:v>Macgowania janiceps-220Ma</c:v>
                </c:pt>
                <c:pt idx="21">
                  <c:v>Himalayasaurus tibetensis-215Ma</c:v>
                </c:pt>
                <c:pt idx="22">
                  <c:v>Shastasaurus tangae-230Ma</c:v>
                </c:pt>
                <c:pt idx="23">
                  <c:v>Shastasaurus pacificus-230Ma</c:v>
                </c:pt>
                <c:pt idx="24">
                  <c:v>Phalarodon callawayi-240Ma</c:v>
                </c:pt>
                <c:pt idx="25">
                  <c:v>Phalarodon fraasi-245Ma</c:v>
                </c:pt>
                <c:pt idx="26">
                  <c:v>Omphalosaurus nevadanus-245Ma</c:v>
                </c:pt>
                <c:pt idx="27">
                  <c:v>Cymbospondylus duelferi-245Ma</c:v>
                </c:pt>
                <c:pt idx="28">
                  <c:v>Thaisaurus chonglakmanii-245Ma</c:v>
                </c:pt>
                <c:pt idx="29">
                  <c:v>Parvinatator wapitiensis-245Ma</c:v>
                </c:pt>
                <c:pt idx="30">
                  <c:v>Phalarodon fraasi-240Ma</c:v>
                </c:pt>
                <c:pt idx="31">
                  <c:v>Callarwayia wolongganagense-230Ma</c:v>
                </c:pt>
                <c:pt idx="32">
                  <c:v>Hudsonelpidia brevirostris-225Ma</c:v>
                </c:pt>
                <c:pt idx="33">
                  <c:v>Gulosaurus helmi-245Ma</c:v>
                </c:pt>
                <c:pt idx="34">
                  <c:v>Parvinatator wapitiensis-240Ma</c:v>
                </c:pt>
                <c:pt idx="35">
                  <c:v>Shastasaurus sikanniensis-215Ma</c:v>
                </c:pt>
                <c:pt idx="36">
                  <c:v>Hudsonelpidia brevirostris-220Ma</c:v>
                </c:pt>
                <c:pt idx="37">
                  <c:v>Californosaurus perrini-230Ma</c:v>
                </c:pt>
                <c:pt idx="38">
                  <c:v>Callawayia neoscapularis-220Ma</c:v>
                </c:pt>
                <c:pt idx="39">
                  <c:v>Phantomosaurus neubigi-245Ma</c:v>
                </c:pt>
                <c:pt idx="40">
                  <c:v>Grippia longirostris-245Ma</c:v>
                </c:pt>
                <c:pt idx="41">
                  <c:v>Toretocnemus californicus-230Ma</c:v>
                </c:pt>
                <c:pt idx="42">
                  <c:v>Phalarodon callawayi-245Ma</c:v>
                </c:pt>
                <c:pt idx="43">
                  <c:v>Toretocnemus zitteli-230Ma</c:v>
                </c:pt>
                <c:pt idx="44">
                  <c:v>Shastasaurus liangae-235Ma</c:v>
                </c:pt>
                <c:pt idx="45">
                  <c:v>Xinminosaurus catactes-245Ma</c:v>
                </c:pt>
                <c:pt idx="46">
                  <c:v>Shastasaurus tangae-235Ma</c:v>
                </c:pt>
                <c:pt idx="47">
                  <c:v>Quasianosteosaurus vikinghoegdai-245Ma</c:v>
                </c:pt>
                <c:pt idx="48">
                  <c:v>Chaohusaurus geishanensis-245Ma</c:v>
                </c:pt>
                <c:pt idx="49">
                  <c:v>Chaohusaurus zhangjiawanensis-245Ma</c:v>
                </c:pt>
                <c:pt idx="50">
                  <c:v>Sclerocormus parviceps-245Ma</c:v>
                </c:pt>
                <c:pt idx="51">
                  <c:v>Chaohusaurus chaoxianensis-245Ma</c:v>
                </c:pt>
                <c:pt idx="52">
                  <c:v>Barracudasauroides panxianensis-245Ma</c:v>
                </c:pt>
                <c:pt idx="53">
                  <c:v>Cartorhynchus lenticarpus-245Ma</c:v>
                </c:pt>
                <c:pt idx="54">
                  <c:v>Qianichthyosaurus zhoui-235Ma</c:v>
                </c:pt>
                <c:pt idx="55">
                  <c:v>Qianichthyosaurus xingyiensis-235Ma</c:v>
                </c:pt>
                <c:pt idx="56">
                  <c:v>Callarwayia wolongganagense-235Ma</c:v>
                </c:pt>
              </c:strCache>
            </c:strRef>
          </c:cat>
          <c:val>
            <c:numRef>
              <c:f>'Low Fat Mass Results'!$H$4:$H$60</c:f>
              <c:numCache>
                <c:formatCode>0.0_);[Red]\(0.0\)</c:formatCode>
                <c:ptCount val="57"/>
                <c:pt idx="0">
                  <c:v>11.288736208814624</c:v>
                </c:pt>
                <c:pt idx="1">
                  <c:v>5.0798183305720128</c:v>
                </c:pt>
                <c:pt idx="2">
                  <c:v>9.4907421994078511</c:v>
                </c:pt>
                <c:pt idx="3">
                  <c:v>6.4167050819149232</c:v>
                </c:pt>
                <c:pt idx="4">
                  <c:v>8.972528354354532</c:v>
                </c:pt>
                <c:pt idx="5">
                  <c:v>15.304228724572045</c:v>
                </c:pt>
                <c:pt idx="6">
                  <c:v>4.1297103140871707</c:v>
                </c:pt>
                <c:pt idx="7">
                  <c:v>13.690299757603041</c:v>
                </c:pt>
                <c:pt idx="8">
                  <c:v>7.5518418624313481</c:v>
                </c:pt>
                <c:pt idx="9">
                  <c:v>7.7414322087693428</c:v>
                </c:pt>
                <c:pt idx="10">
                  <c:v>4.2485945580001108</c:v>
                </c:pt>
                <c:pt idx="11">
                  <c:v>6.5107529590628648</c:v>
                </c:pt>
                <c:pt idx="12">
                  <c:v>5.4157118054351061</c:v>
                </c:pt>
                <c:pt idx="13">
                  <c:v>4.6984663441469747</c:v>
                </c:pt>
                <c:pt idx="14">
                  <c:v>12.130669535654553</c:v>
                </c:pt>
                <c:pt idx="15">
                  <c:v>15.118181119995054</c:v>
                </c:pt>
                <c:pt idx="16">
                  <c:v>12.744761493876807</c:v>
                </c:pt>
                <c:pt idx="17">
                  <c:v>6.5898276938607623</c:v>
                </c:pt>
                <c:pt idx="18">
                  <c:v>3.9427501129506441</c:v>
                </c:pt>
                <c:pt idx="19">
                  <c:v>5.4772214566649549</c:v>
                </c:pt>
                <c:pt idx="20">
                  <c:v>7.974447759482544</c:v>
                </c:pt>
                <c:pt idx="21">
                  <c:v>4.4986949886212901</c:v>
                </c:pt>
                <c:pt idx="22">
                  <c:v>4.9822724033642025</c:v>
                </c:pt>
                <c:pt idx="23">
                  <c:v>6.0943614054478052</c:v>
                </c:pt>
                <c:pt idx="24">
                  <c:v>12.601911832741424</c:v>
                </c:pt>
                <c:pt idx="25">
                  <c:v>14.041300917115693</c:v>
                </c:pt>
                <c:pt idx="26">
                  <c:v>10.47424930975639</c:v>
                </c:pt>
                <c:pt idx="27">
                  <c:v>8.873458441764555</c:v>
                </c:pt>
                <c:pt idx="28">
                  <c:v>14.391443781999049</c:v>
                </c:pt>
                <c:pt idx="29">
                  <c:v>19.247540372181998</c:v>
                </c:pt>
                <c:pt idx="30">
                  <c:v>14.97299831903924</c:v>
                </c:pt>
                <c:pt idx="31">
                  <c:v>11.99428716204647</c:v>
                </c:pt>
                <c:pt idx="32">
                  <c:v>5.7959281351034848</c:v>
                </c:pt>
                <c:pt idx="33">
                  <c:v>15.100441677934819</c:v>
                </c:pt>
                <c:pt idx="34">
                  <c:v>18.733885447654838</c:v>
                </c:pt>
                <c:pt idx="35">
                  <c:v>3.4453584668353945</c:v>
                </c:pt>
                <c:pt idx="36">
                  <c:v>8.7413994896343699</c:v>
                </c:pt>
                <c:pt idx="37">
                  <c:v>7.6577573661763063</c:v>
                </c:pt>
                <c:pt idx="38">
                  <c:v>8.7223792092324182</c:v>
                </c:pt>
                <c:pt idx="39">
                  <c:v>4.7486358065785135</c:v>
                </c:pt>
                <c:pt idx="40">
                  <c:v>12.455280889729261</c:v>
                </c:pt>
                <c:pt idx="41">
                  <c:v>9.2911339564993032</c:v>
                </c:pt>
                <c:pt idx="42">
                  <c:v>14.013315570699534</c:v>
                </c:pt>
                <c:pt idx="43">
                  <c:v>9.3459099590360069</c:v>
                </c:pt>
                <c:pt idx="44">
                  <c:v>4.3373116884845571</c:v>
                </c:pt>
                <c:pt idx="45">
                  <c:v>8.4855971763134832</c:v>
                </c:pt>
                <c:pt idx="46">
                  <c:v>4.2689731659888066</c:v>
                </c:pt>
                <c:pt idx="47">
                  <c:v>21.535279117110065</c:v>
                </c:pt>
                <c:pt idx="48">
                  <c:v>10.529233850396627</c:v>
                </c:pt>
                <c:pt idx="49">
                  <c:v>13.343647701477359</c:v>
                </c:pt>
                <c:pt idx="50">
                  <c:v>12.257260220006755</c:v>
                </c:pt>
                <c:pt idx="51">
                  <c:v>12.457954658006596</c:v>
                </c:pt>
                <c:pt idx="52">
                  <c:v>11.065432823533264</c:v>
                </c:pt>
                <c:pt idx="53">
                  <c:v>17.76570549740541</c:v>
                </c:pt>
                <c:pt idx="54">
                  <c:v>5.76914941613372</c:v>
                </c:pt>
                <c:pt idx="55">
                  <c:v>6.0107819416816497</c:v>
                </c:pt>
                <c:pt idx="56">
                  <c:v>5.9250918486029454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5A-4408-9F30-2EC5A2A08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772207"/>
        <c:axId val="304778447"/>
      </c:lineChart>
      <c:catAx>
        <c:axId val="26984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9853711"/>
        <c:crosses val="autoZero"/>
        <c:auto val="1"/>
        <c:lblAlgn val="ctr"/>
        <c:lblOffset val="100"/>
        <c:noMultiLvlLbl val="0"/>
      </c:catAx>
      <c:valAx>
        <c:axId val="26985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9848431"/>
        <c:crosses val="autoZero"/>
        <c:crossBetween val="between"/>
      </c:valAx>
      <c:valAx>
        <c:axId val="304778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4772207"/>
        <c:crosses val="max"/>
        <c:crossBetween val="between"/>
      </c:valAx>
      <c:catAx>
        <c:axId val="3047722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47784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214366435103459E-2"/>
          <c:y val="2.6012075561987875E-2"/>
          <c:w val="0.95782549449360066"/>
          <c:h val="0.65422657267532935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'Low Fat Mass Results'!$B$62:$B$95</c:f>
              <c:strCache>
                <c:ptCount val="34"/>
                <c:pt idx="0">
                  <c:v>Cyamodus hildegardis-245Ma</c:v>
                </c:pt>
                <c:pt idx="1">
                  <c:v>Helveticosaurus zollingeri-245Ma</c:v>
                </c:pt>
                <c:pt idx="2">
                  <c:v>Helveticosaurus zollingeri-240Ma</c:v>
                </c:pt>
                <c:pt idx="3">
                  <c:v>Paraplacodus broilli-245Ma</c:v>
                </c:pt>
                <c:pt idx="4">
                  <c:v>Cyamodus kuhnschnyderi-240Ma</c:v>
                </c:pt>
                <c:pt idx="5">
                  <c:v>Cyamodus muensteri-240Ma</c:v>
                </c:pt>
                <c:pt idx="6">
                  <c:v>Cyamodus rostratus-240Ma</c:v>
                </c:pt>
                <c:pt idx="7">
                  <c:v>Henodus chelyops-240Ma</c:v>
                </c:pt>
                <c:pt idx="8">
                  <c:v>Placochelys placodonta-240Ma</c:v>
                </c:pt>
                <c:pt idx="9">
                  <c:v>Psephosauriscus sinaiticus-245Ma</c:v>
                </c:pt>
                <c:pt idx="10">
                  <c:v>Placodus gigas-240Ma</c:v>
                </c:pt>
                <c:pt idx="11">
                  <c:v>Psephosauriscus ramonensis-245Ma</c:v>
                </c:pt>
                <c:pt idx="12">
                  <c:v>Eusaurosphargis dalsassoi-245Ma</c:v>
                </c:pt>
                <c:pt idx="13">
                  <c:v>Psephosauriscus mosis-245Ma</c:v>
                </c:pt>
                <c:pt idx="14">
                  <c:v>Atopodentatus unicus-245Ma</c:v>
                </c:pt>
                <c:pt idx="15">
                  <c:v>Henodus chelyops-235Ma</c:v>
                </c:pt>
                <c:pt idx="16">
                  <c:v>Psephoderma alpinum-20Ma5Ma</c:v>
                </c:pt>
                <c:pt idx="17">
                  <c:v>Psephosauriscus rhombifer-240Ma</c:v>
                </c:pt>
                <c:pt idx="18">
                  <c:v>Placodus inexpectatus-245Ma</c:v>
                </c:pt>
                <c:pt idx="19">
                  <c:v>Psephoderma alpinum-215Ma</c:v>
                </c:pt>
                <c:pt idx="20">
                  <c:v>Pararcus diepenbroek-240Ma</c:v>
                </c:pt>
                <c:pt idx="21">
                  <c:v>Psephoderma alpinum-210Ma</c:v>
                </c:pt>
                <c:pt idx="22">
                  <c:v>Glyphoderma kangi-240Ma</c:v>
                </c:pt>
                <c:pt idx="23">
                  <c:v>Placodus gigas-245Ma</c:v>
                </c:pt>
                <c:pt idx="24">
                  <c:v>Placochelys placodonta-235Ma</c:v>
                </c:pt>
                <c:pt idx="25">
                  <c:v>Macroplacus raeticus-20Ma5Ma</c:v>
                </c:pt>
                <c:pt idx="26">
                  <c:v>Cyamodus muensteri-245Ma</c:v>
                </c:pt>
                <c:pt idx="27">
                  <c:v>Palatodonta bleekeri--245Ma</c:v>
                </c:pt>
                <c:pt idx="28">
                  <c:v>Pararcus diepenbroek-245Ma</c:v>
                </c:pt>
                <c:pt idx="29">
                  <c:v>Cyamodus rostratus-245Ma</c:v>
                </c:pt>
                <c:pt idx="30">
                  <c:v>Glyphoderma kangi-235Ma</c:v>
                </c:pt>
                <c:pt idx="31">
                  <c:v>Psephochelys polyosteoderma-235Ma</c:v>
                </c:pt>
                <c:pt idx="32">
                  <c:v>Sinocyamodus xinpuensis-235Ma</c:v>
                </c:pt>
                <c:pt idx="33">
                  <c:v>Cyamodus orientalis-235Ma</c:v>
                </c:pt>
              </c:strCache>
            </c:strRef>
          </c:cat>
          <c:val>
            <c:numRef>
              <c:f>'Low Fat Mass Results'!$G$62:$G$95</c:f>
              <c:numCache>
                <c:formatCode>General</c:formatCode>
                <c:ptCount val="34"/>
                <c:pt idx="0">
                  <c:v>4522.1080805000001</c:v>
                </c:pt>
                <c:pt idx="1">
                  <c:v>4078.6851062000001</c:v>
                </c:pt>
                <c:pt idx="2">
                  <c:v>3984.7171133000002</c:v>
                </c:pt>
                <c:pt idx="3">
                  <c:v>3901.5096134</c:v>
                </c:pt>
                <c:pt idx="4">
                  <c:v>3891.6304706999999</c:v>
                </c:pt>
                <c:pt idx="5">
                  <c:v>3551.2864249999998</c:v>
                </c:pt>
                <c:pt idx="6">
                  <c:v>3221.3657128</c:v>
                </c:pt>
                <c:pt idx="7">
                  <c:v>3053.7571607</c:v>
                </c:pt>
                <c:pt idx="8">
                  <c:v>2679.5768739</c:v>
                </c:pt>
                <c:pt idx="9">
                  <c:v>1870.9560604999999</c:v>
                </c:pt>
                <c:pt idx="10">
                  <c:v>1834.9457511000001</c:v>
                </c:pt>
                <c:pt idx="11">
                  <c:v>1778.6297721999999</c:v>
                </c:pt>
                <c:pt idx="12">
                  <c:v>1756.0940184000001</c:v>
                </c:pt>
                <c:pt idx="13">
                  <c:v>1662.5394967</c:v>
                </c:pt>
                <c:pt idx="14">
                  <c:v>1491.1362429999999</c:v>
                </c:pt>
                <c:pt idx="15">
                  <c:v>1389.8272403000001</c:v>
                </c:pt>
                <c:pt idx="16">
                  <c:v>1381.9447647</c:v>
                </c:pt>
                <c:pt idx="17">
                  <c:v>1348.0539859999999</c:v>
                </c:pt>
                <c:pt idx="18">
                  <c:v>1229.9818544</c:v>
                </c:pt>
                <c:pt idx="19">
                  <c:v>1185.1262154000001</c:v>
                </c:pt>
                <c:pt idx="20">
                  <c:v>1180.5959123</c:v>
                </c:pt>
                <c:pt idx="21">
                  <c:v>1150.9306813999999</c:v>
                </c:pt>
                <c:pt idx="22">
                  <c:v>1088.6507846</c:v>
                </c:pt>
                <c:pt idx="23">
                  <c:v>1015.4829580000001</c:v>
                </c:pt>
                <c:pt idx="24">
                  <c:v>974.45049110000002</c:v>
                </c:pt>
                <c:pt idx="25">
                  <c:v>953.89265379999995</c:v>
                </c:pt>
                <c:pt idx="26">
                  <c:v>847.40561500000001</c:v>
                </c:pt>
                <c:pt idx="27">
                  <c:v>773.3820050999999</c:v>
                </c:pt>
                <c:pt idx="28">
                  <c:v>751.88975749999997</c:v>
                </c:pt>
                <c:pt idx="29">
                  <c:v>619.07348459999992</c:v>
                </c:pt>
                <c:pt idx="30">
                  <c:v>584.93870049999998</c:v>
                </c:pt>
                <c:pt idx="31">
                  <c:v>535.65386230000001</c:v>
                </c:pt>
                <c:pt idx="32">
                  <c:v>490.86107859999998</c:v>
                </c:pt>
                <c:pt idx="33">
                  <c:v>419.21839260000002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9C-437F-B0C9-4BD084E73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9890191"/>
        <c:axId val="269895951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'Low Fat Mass Results'!$B$62:$B$95</c:f>
              <c:strCache>
                <c:ptCount val="34"/>
                <c:pt idx="0">
                  <c:v>Cyamodus hildegardis-245Ma</c:v>
                </c:pt>
                <c:pt idx="1">
                  <c:v>Helveticosaurus zollingeri-245Ma</c:v>
                </c:pt>
                <c:pt idx="2">
                  <c:v>Helveticosaurus zollingeri-240Ma</c:v>
                </c:pt>
                <c:pt idx="3">
                  <c:v>Paraplacodus broilli-245Ma</c:v>
                </c:pt>
                <c:pt idx="4">
                  <c:v>Cyamodus kuhnschnyderi-240Ma</c:v>
                </c:pt>
                <c:pt idx="5">
                  <c:v>Cyamodus muensteri-240Ma</c:v>
                </c:pt>
                <c:pt idx="6">
                  <c:v>Cyamodus rostratus-240Ma</c:v>
                </c:pt>
                <c:pt idx="7">
                  <c:v>Henodus chelyops-240Ma</c:v>
                </c:pt>
                <c:pt idx="8">
                  <c:v>Placochelys placodonta-240Ma</c:v>
                </c:pt>
                <c:pt idx="9">
                  <c:v>Psephosauriscus sinaiticus-245Ma</c:v>
                </c:pt>
                <c:pt idx="10">
                  <c:v>Placodus gigas-240Ma</c:v>
                </c:pt>
                <c:pt idx="11">
                  <c:v>Psephosauriscus ramonensis-245Ma</c:v>
                </c:pt>
                <c:pt idx="12">
                  <c:v>Eusaurosphargis dalsassoi-245Ma</c:v>
                </c:pt>
                <c:pt idx="13">
                  <c:v>Psephosauriscus mosis-245Ma</c:v>
                </c:pt>
                <c:pt idx="14">
                  <c:v>Atopodentatus unicus-245Ma</c:v>
                </c:pt>
                <c:pt idx="15">
                  <c:v>Henodus chelyops-235Ma</c:v>
                </c:pt>
                <c:pt idx="16">
                  <c:v>Psephoderma alpinum-20Ma5Ma</c:v>
                </c:pt>
                <c:pt idx="17">
                  <c:v>Psephosauriscus rhombifer-240Ma</c:v>
                </c:pt>
                <c:pt idx="18">
                  <c:v>Placodus inexpectatus-245Ma</c:v>
                </c:pt>
                <c:pt idx="19">
                  <c:v>Psephoderma alpinum-215Ma</c:v>
                </c:pt>
                <c:pt idx="20">
                  <c:v>Pararcus diepenbroek-240Ma</c:v>
                </c:pt>
                <c:pt idx="21">
                  <c:v>Psephoderma alpinum-210Ma</c:v>
                </c:pt>
                <c:pt idx="22">
                  <c:v>Glyphoderma kangi-240Ma</c:v>
                </c:pt>
                <c:pt idx="23">
                  <c:v>Placodus gigas-245Ma</c:v>
                </c:pt>
                <c:pt idx="24">
                  <c:v>Placochelys placodonta-235Ma</c:v>
                </c:pt>
                <c:pt idx="25">
                  <c:v>Macroplacus raeticus-20Ma5Ma</c:v>
                </c:pt>
                <c:pt idx="26">
                  <c:v>Cyamodus muensteri-245Ma</c:v>
                </c:pt>
                <c:pt idx="27">
                  <c:v>Palatodonta bleekeri--245Ma</c:v>
                </c:pt>
                <c:pt idx="28">
                  <c:v>Pararcus diepenbroek-245Ma</c:v>
                </c:pt>
                <c:pt idx="29">
                  <c:v>Cyamodus rostratus-245Ma</c:v>
                </c:pt>
                <c:pt idx="30">
                  <c:v>Glyphoderma kangi-235Ma</c:v>
                </c:pt>
                <c:pt idx="31">
                  <c:v>Psephochelys polyosteoderma-235Ma</c:v>
                </c:pt>
                <c:pt idx="32">
                  <c:v>Sinocyamodus xinpuensis-235Ma</c:v>
                </c:pt>
                <c:pt idx="33">
                  <c:v>Cyamodus orientalis-235Ma</c:v>
                </c:pt>
              </c:strCache>
            </c:strRef>
          </c:cat>
          <c:val>
            <c:numRef>
              <c:f>'Low Fat Mass Results'!$C$62:$C$95</c:f>
              <c:numCache>
                <c:formatCode>General</c:formatCode>
                <c:ptCount val="34"/>
                <c:pt idx="0">
                  <c:v>1.5</c:v>
                </c:pt>
                <c:pt idx="1">
                  <c:v>3.6</c:v>
                </c:pt>
                <c:pt idx="2">
                  <c:v>3.6</c:v>
                </c:pt>
                <c:pt idx="3">
                  <c:v>1.5</c:v>
                </c:pt>
                <c:pt idx="4">
                  <c:v>1.5</c:v>
                </c:pt>
                <c:pt idx="5">
                  <c:v>1.3</c:v>
                </c:pt>
                <c:pt idx="6">
                  <c:v>1.3</c:v>
                </c:pt>
                <c:pt idx="7">
                  <c:v>1</c:v>
                </c:pt>
                <c:pt idx="8">
                  <c:v>0.95</c:v>
                </c:pt>
                <c:pt idx="9">
                  <c:v>1.2</c:v>
                </c:pt>
                <c:pt idx="10">
                  <c:v>2</c:v>
                </c:pt>
                <c:pt idx="11">
                  <c:v>1.3</c:v>
                </c:pt>
                <c:pt idx="12">
                  <c:v>0.2</c:v>
                </c:pt>
                <c:pt idx="13">
                  <c:v>1.2</c:v>
                </c:pt>
                <c:pt idx="14">
                  <c:v>3</c:v>
                </c:pt>
                <c:pt idx="15">
                  <c:v>1</c:v>
                </c:pt>
                <c:pt idx="16">
                  <c:v>1.25</c:v>
                </c:pt>
                <c:pt idx="17">
                  <c:v>1.3</c:v>
                </c:pt>
                <c:pt idx="18">
                  <c:v>2.5</c:v>
                </c:pt>
                <c:pt idx="19">
                  <c:v>1.25</c:v>
                </c:pt>
                <c:pt idx="20">
                  <c:v>1.5</c:v>
                </c:pt>
                <c:pt idx="21">
                  <c:v>1.25</c:v>
                </c:pt>
                <c:pt idx="22">
                  <c:v>0.95</c:v>
                </c:pt>
                <c:pt idx="23">
                  <c:v>2</c:v>
                </c:pt>
                <c:pt idx="24">
                  <c:v>0.95</c:v>
                </c:pt>
                <c:pt idx="25">
                  <c:v>1</c:v>
                </c:pt>
                <c:pt idx="26">
                  <c:v>1.3</c:v>
                </c:pt>
                <c:pt idx="27">
                  <c:v>1.5</c:v>
                </c:pt>
                <c:pt idx="28">
                  <c:v>1.5</c:v>
                </c:pt>
                <c:pt idx="29">
                  <c:v>1.3</c:v>
                </c:pt>
                <c:pt idx="30">
                  <c:v>0.95</c:v>
                </c:pt>
                <c:pt idx="31">
                  <c:v>1</c:v>
                </c:pt>
                <c:pt idx="32">
                  <c:v>1</c:v>
                </c:pt>
                <c:pt idx="33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9C-437F-B0C9-4BD084E73FE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'Low Fat Mass Results'!$B$62:$B$95</c:f>
              <c:strCache>
                <c:ptCount val="34"/>
                <c:pt idx="0">
                  <c:v>Cyamodus hildegardis-245Ma</c:v>
                </c:pt>
                <c:pt idx="1">
                  <c:v>Helveticosaurus zollingeri-245Ma</c:v>
                </c:pt>
                <c:pt idx="2">
                  <c:v>Helveticosaurus zollingeri-240Ma</c:v>
                </c:pt>
                <c:pt idx="3">
                  <c:v>Paraplacodus broilli-245Ma</c:v>
                </c:pt>
                <c:pt idx="4">
                  <c:v>Cyamodus kuhnschnyderi-240Ma</c:v>
                </c:pt>
                <c:pt idx="5">
                  <c:v>Cyamodus muensteri-240Ma</c:v>
                </c:pt>
                <c:pt idx="6">
                  <c:v>Cyamodus rostratus-240Ma</c:v>
                </c:pt>
                <c:pt idx="7">
                  <c:v>Henodus chelyops-240Ma</c:v>
                </c:pt>
                <c:pt idx="8">
                  <c:v>Placochelys placodonta-240Ma</c:v>
                </c:pt>
                <c:pt idx="9">
                  <c:v>Psephosauriscus sinaiticus-245Ma</c:v>
                </c:pt>
                <c:pt idx="10">
                  <c:v>Placodus gigas-240Ma</c:v>
                </c:pt>
                <c:pt idx="11">
                  <c:v>Psephosauriscus ramonensis-245Ma</c:v>
                </c:pt>
                <c:pt idx="12">
                  <c:v>Eusaurosphargis dalsassoi-245Ma</c:v>
                </c:pt>
                <c:pt idx="13">
                  <c:v>Psephosauriscus mosis-245Ma</c:v>
                </c:pt>
                <c:pt idx="14">
                  <c:v>Atopodentatus unicus-245Ma</c:v>
                </c:pt>
                <c:pt idx="15">
                  <c:v>Henodus chelyops-235Ma</c:v>
                </c:pt>
                <c:pt idx="16">
                  <c:v>Psephoderma alpinum-20Ma5Ma</c:v>
                </c:pt>
                <c:pt idx="17">
                  <c:v>Psephosauriscus rhombifer-240Ma</c:v>
                </c:pt>
                <c:pt idx="18">
                  <c:v>Placodus inexpectatus-245Ma</c:v>
                </c:pt>
                <c:pt idx="19">
                  <c:v>Psephoderma alpinum-215Ma</c:v>
                </c:pt>
                <c:pt idx="20">
                  <c:v>Pararcus diepenbroek-240Ma</c:v>
                </c:pt>
                <c:pt idx="21">
                  <c:v>Psephoderma alpinum-210Ma</c:v>
                </c:pt>
                <c:pt idx="22">
                  <c:v>Glyphoderma kangi-240Ma</c:v>
                </c:pt>
                <c:pt idx="23">
                  <c:v>Placodus gigas-245Ma</c:v>
                </c:pt>
                <c:pt idx="24">
                  <c:v>Placochelys placodonta-235Ma</c:v>
                </c:pt>
                <c:pt idx="25">
                  <c:v>Macroplacus raeticus-20Ma5Ma</c:v>
                </c:pt>
                <c:pt idx="26">
                  <c:v>Cyamodus muensteri-245Ma</c:v>
                </c:pt>
                <c:pt idx="27">
                  <c:v>Palatodonta bleekeri--245Ma</c:v>
                </c:pt>
                <c:pt idx="28">
                  <c:v>Pararcus diepenbroek-245Ma</c:v>
                </c:pt>
                <c:pt idx="29">
                  <c:v>Cyamodus rostratus-245Ma</c:v>
                </c:pt>
                <c:pt idx="30">
                  <c:v>Glyphoderma kangi-235Ma</c:v>
                </c:pt>
                <c:pt idx="31">
                  <c:v>Psephochelys polyosteoderma-235Ma</c:v>
                </c:pt>
                <c:pt idx="32">
                  <c:v>Sinocyamodus xinpuensis-235Ma</c:v>
                </c:pt>
                <c:pt idx="33">
                  <c:v>Cyamodus orientalis-235Ma</c:v>
                </c:pt>
              </c:strCache>
            </c:strRef>
          </c:cat>
          <c:val>
            <c:numRef>
              <c:f>'Low Fat Mass Results'!$H$62:$H$95</c:f>
              <c:numCache>
                <c:formatCode>0.0_);[Red]\(0.0\)</c:formatCode>
                <c:ptCount val="34"/>
                <c:pt idx="0">
                  <c:v>12.576121760065448</c:v>
                </c:pt>
                <c:pt idx="1">
                  <c:v>8.0092970537934107</c:v>
                </c:pt>
                <c:pt idx="2">
                  <c:v>7.3861711399550831</c:v>
                </c:pt>
                <c:pt idx="3">
                  <c:v>13.213699920248621</c:v>
                </c:pt>
                <c:pt idx="4">
                  <c:v>11.327023833956684</c:v>
                </c:pt>
                <c:pt idx="5">
                  <c:v>11.568531346842958</c:v>
                </c:pt>
                <c:pt idx="6">
                  <c:v>10.695395537962344</c:v>
                </c:pt>
                <c:pt idx="7">
                  <c:v>9.2502751376696803</c:v>
                </c:pt>
                <c:pt idx="8">
                  <c:v>12.781214454377157</c:v>
                </c:pt>
                <c:pt idx="9">
                  <c:v>11.13103351535694</c:v>
                </c:pt>
                <c:pt idx="10">
                  <c:v>8.3379299282465755</c:v>
                </c:pt>
                <c:pt idx="11">
                  <c:v>12.203772138444382</c:v>
                </c:pt>
                <c:pt idx="12">
                  <c:v>10.76978115710331</c:v>
                </c:pt>
                <c:pt idx="13">
                  <c:v>11.853323041543742</c:v>
                </c:pt>
                <c:pt idx="14">
                  <c:v>9.390064277505866</c:v>
                </c:pt>
                <c:pt idx="15">
                  <c:v>7.5032891654073923</c:v>
                </c:pt>
                <c:pt idx="16">
                  <c:v>10.079744984620703</c:v>
                </c:pt>
                <c:pt idx="17">
                  <c:v>6.3653654569003839</c:v>
                </c:pt>
                <c:pt idx="18">
                  <c:v>8.4623473814100407</c:v>
                </c:pt>
                <c:pt idx="19">
                  <c:v>9.9160987553909976</c:v>
                </c:pt>
                <c:pt idx="20">
                  <c:v>7.7034505924507544</c:v>
                </c:pt>
                <c:pt idx="21">
                  <c:v>9.6954640625928779</c:v>
                </c:pt>
                <c:pt idx="22">
                  <c:v>14.41569022229341</c:v>
                </c:pt>
                <c:pt idx="23">
                  <c:v>6.8051522508357589</c:v>
                </c:pt>
                <c:pt idx="24">
                  <c:v>8.3497531258096451</c:v>
                </c:pt>
                <c:pt idx="25">
                  <c:v>13.050454885871227</c:v>
                </c:pt>
                <c:pt idx="26">
                  <c:v>7.1945752852838813</c:v>
                </c:pt>
                <c:pt idx="27">
                  <c:v>6.9774842141520486</c:v>
                </c:pt>
                <c:pt idx="28">
                  <c:v>7.0471428811431691</c:v>
                </c:pt>
                <c:pt idx="29">
                  <c:v>5.7257603772240611</c:v>
                </c:pt>
                <c:pt idx="30">
                  <c:v>8.4878795756832996</c:v>
                </c:pt>
                <c:pt idx="31">
                  <c:v>7.7777378864219626</c:v>
                </c:pt>
                <c:pt idx="32">
                  <c:v>7.6445374682077629</c:v>
                </c:pt>
                <c:pt idx="33">
                  <c:v>5.1002552817723554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9C-437F-B0C9-4BD084E73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7183632"/>
        <c:axId val="1277172592"/>
      </c:lineChart>
      <c:catAx>
        <c:axId val="26989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9895951"/>
        <c:crosses val="autoZero"/>
        <c:auto val="1"/>
        <c:lblAlgn val="ctr"/>
        <c:lblOffset val="100"/>
        <c:noMultiLvlLbl val="0"/>
      </c:catAx>
      <c:valAx>
        <c:axId val="26989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9890191"/>
        <c:crosses val="autoZero"/>
        <c:crossBetween val="between"/>
      </c:valAx>
      <c:valAx>
        <c:axId val="12771725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7183632"/>
        <c:crosses val="max"/>
        <c:crossBetween val="between"/>
      </c:valAx>
      <c:catAx>
        <c:axId val="1277183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771725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874968223188097E-2"/>
          <c:y val="1.8852464039454789E-2"/>
          <c:w val="0.94429966594836512"/>
          <c:h val="0.6606312276009708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'Low Fat Mass Results'!$G$98</c:f>
              <c:strCache>
                <c:ptCount val="1"/>
                <c:pt idx="0">
                  <c:v>Average migration distance (km/Agent)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'Low Fat Mass Results'!$B$99:$B$155</c:f>
              <c:strCache>
                <c:ptCount val="57"/>
                <c:pt idx="0">
                  <c:v>Utatsusaurus hataii-245Ma</c:v>
                </c:pt>
                <c:pt idx="1">
                  <c:v>Omphalosaurus wolfi-240Ma</c:v>
                </c:pt>
                <c:pt idx="2">
                  <c:v>Cymbospondylus buchseri-240Ma</c:v>
                </c:pt>
                <c:pt idx="3">
                  <c:v>Besanosaurus leptorhynchus-240Ma</c:v>
                </c:pt>
                <c:pt idx="4">
                  <c:v>Mixosaurus cornalianus-240Ma</c:v>
                </c:pt>
                <c:pt idx="5">
                  <c:v>Phalarodon atavus-245Ma</c:v>
                </c:pt>
                <c:pt idx="6">
                  <c:v>Mikadocephalus gracilirostris-240Ma</c:v>
                </c:pt>
                <c:pt idx="7">
                  <c:v>Mikadocephalus gracilirostris-245Ma</c:v>
                </c:pt>
                <c:pt idx="8">
                  <c:v>Mixosaurus cornalianus-245Ma</c:v>
                </c:pt>
                <c:pt idx="9">
                  <c:v>Cymbospondylus buchseri-245Ma</c:v>
                </c:pt>
                <c:pt idx="10">
                  <c:v>Besanosaurus leptorhynchus-245Ma</c:v>
                </c:pt>
                <c:pt idx="11">
                  <c:v>Cymbospondylus duelferi-240Ma</c:v>
                </c:pt>
                <c:pt idx="12">
                  <c:v>Shastasaurus pacificus-235Ma</c:v>
                </c:pt>
                <c:pt idx="13">
                  <c:v>Thaisaurus chonglakmanii-245Ma</c:v>
                </c:pt>
                <c:pt idx="14">
                  <c:v>Phalarodon fraasi-245Ma</c:v>
                </c:pt>
                <c:pt idx="15">
                  <c:v>Phalarodon callawayi-240Ma</c:v>
                </c:pt>
                <c:pt idx="16">
                  <c:v>Cymbospondylus nichollsi-240Ma</c:v>
                </c:pt>
                <c:pt idx="17">
                  <c:v>Phalarodon fraasi-240Ma</c:v>
                </c:pt>
                <c:pt idx="18">
                  <c:v>Shastasaurus tangae-230Ma</c:v>
                </c:pt>
                <c:pt idx="19">
                  <c:v>Callarwayia wolongganagense-230Ma</c:v>
                </c:pt>
                <c:pt idx="20">
                  <c:v>Hudsonelpidia brevirostris-225Ma</c:v>
                </c:pt>
                <c:pt idx="21">
                  <c:v>Parvinatator wapitiensis-240Ma</c:v>
                </c:pt>
                <c:pt idx="22">
                  <c:v>Cymbospondylus piscosus-240Ma</c:v>
                </c:pt>
                <c:pt idx="23">
                  <c:v>Macgowania janiceps-220Ma</c:v>
                </c:pt>
                <c:pt idx="24">
                  <c:v>Parvinatator wapitiensis-245Ma</c:v>
                </c:pt>
                <c:pt idx="25">
                  <c:v>Gulosaurus helmi-245Ma</c:v>
                </c:pt>
                <c:pt idx="26">
                  <c:v>Himalayasaurus tibetensis-220Ma</c:v>
                </c:pt>
                <c:pt idx="27">
                  <c:v>Cymbospondylus duelferi-245Ma</c:v>
                </c:pt>
                <c:pt idx="28">
                  <c:v>Himalayasaurus tibetensis-215Ma</c:v>
                </c:pt>
                <c:pt idx="29">
                  <c:v>Omphalosaurus nevadanus-245Ma</c:v>
                </c:pt>
                <c:pt idx="30">
                  <c:v>Cymbospondylus nichollsi-245Ma</c:v>
                </c:pt>
                <c:pt idx="31">
                  <c:v>Cymbospondylus piscosus-245Ma</c:v>
                </c:pt>
                <c:pt idx="32">
                  <c:v>Callawayia neoscapularis-220Ma</c:v>
                </c:pt>
                <c:pt idx="33">
                  <c:v>Shonisaurus popularis-230Ma</c:v>
                </c:pt>
                <c:pt idx="34">
                  <c:v>Thalattoarchon saurophagis-245Ma</c:v>
                </c:pt>
                <c:pt idx="35">
                  <c:v>Grippia longirostris-245Ma</c:v>
                </c:pt>
                <c:pt idx="36">
                  <c:v>Hudsonelpidia brevirostris-220Ma</c:v>
                </c:pt>
                <c:pt idx="37">
                  <c:v>Quasianosteosaurus vikinghoegdai-245Ma</c:v>
                </c:pt>
                <c:pt idx="38">
                  <c:v>Shastasaurus sikanniensis-215Ma</c:v>
                </c:pt>
                <c:pt idx="39">
                  <c:v>Toretocnemus zitteli-230Ma</c:v>
                </c:pt>
                <c:pt idx="40">
                  <c:v>Phantomosaurus neubigi-245Ma</c:v>
                </c:pt>
                <c:pt idx="41">
                  <c:v>Shastasaurus pacificus-230Ma</c:v>
                </c:pt>
                <c:pt idx="42">
                  <c:v>Californosaurus perrini-230Ma</c:v>
                </c:pt>
                <c:pt idx="43">
                  <c:v>Chaohusaurus zhangjiawanensis-245Ma</c:v>
                </c:pt>
                <c:pt idx="44">
                  <c:v>Xinminosaurus catactes-245Ma</c:v>
                </c:pt>
                <c:pt idx="45">
                  <c:v>Toretocnemus californicus-230Ma</c:v>
                </c:pt>
                <c:pt idx="46">
                  <c:v>Chaohusaurus chaoxianensis-245Ma</c:v>
                </c:pt>
                <c:pt idx="47">
                  <c:v>Phalarodon callawayi-245Ma</c:v>
                </c:pt>
                <c:pt idx="48">
                  <c:v>Chaohusaurus geishanensis-245Ma</c:v>
                </c:pt>
                <c:pt idx="49">
                  <c:v>Sclerocormus parviceps-245Ma</c:v>
                </c:pt>
                <c:pt idx="50">
                  <c:v>Cartorhynchus lenticarpus-245Ma</c:v>
                </c:pt>
                <c:pt idx="51">
                  <c:v>Barracudasauroides panxianensis-245Ma</c:v>
                </c:pt>
                <c:pt idx="52">
                  <c:v>Shastasaurus liangae-235Ma</c:v>
                </c:pt>
                <c:pt idx="53">
                  <c:v>Shastasaurus tangae-235Ma</c:v>
                </c:pt>
                <c:pt idx="54">
                  <c:v>Callarwayia wolongganagense-235Ma</c:v>
                </c:pt>
                <c:pt idx="55">
                  <c:v>Qianichthyosaurus zhoui-235Ma</c:v>
                </c:pt>
                <c:pt idx="56">
                  <c:v>Qianichthyosaurus xingyiensis-235Ma</c:v>
                </c:pt>
              </c:strCache>
            </c:strRef>
          </c:cat>
          <c:val>
            <c:numRef>
              <c:f>'Low Fat Mass Results'!$G$99:$G$155</c:f>
              <c:numCache>
                <c:formatCode>General</c:formatCode>
                <c:ptCount val="57"/>
                <c:pt idx="0">
                  <c:v>5188.5403827</c:v>
                </c:pt>
                <c:pt idx="1">
                  <c:v>3658.6053701999999</c:v>
                </c:pt>
                <c:pt idx="2">
                  <c:v>2818.9068938999999</c:v>
                </c:pt>
                <c:pt idx="3">
                  <c:v>2767.3665139999998</c:v>
                </c:pt>
                <c:pt idx="4">
                  <c:v>2666.2027188000002</c:v>
                </c:pt>
                <c:pt idx="5">
                  <c:v>2611.0186217999999</c:v>
                </c:pt>
                <c:pt idx="6">
                  <c:v>2596.5164033000001</c:v>
                </c:pt>
                <c:pt idx="7">
                  <c:v>2473.9079725000001</c:v>
                </c:pt>
                <c:pt idx="8">
                  <c:v>2450.0395555</c:v>
                </c:pt>
                <c:pt idx="9">
                  <c:v>2295.2926710000002</c:v>
                </c:pt>
                <c:pt idx="10">
                  <c:v>1801.3883962</c:v>
                </c:pt>
                <c:pt idx="11">
                  <c:v>1705.9634831999999</c:v>
                </c:pt>
                <c:pt idx="12">
                  <c:v>1538.7928283000001</c:v>
                </c:pt>
                <c:pt idx="13">
                  <c:v>1508.5328930999999</c:v>
                </c:pt>
                <c:pt idx="14">
                  <c:v>1485.7996083999999</c:v>
                </c:pt>
                <c:pt idx="15">
                  <c:v>1468.603026</c:v>
                </c:pt>
                <c:pt idx="16">
                  <c:v>1444.8257289000001</c:v>
                </c:pt>
                <c:pt idx="17">
                  <c:v>1321.601746</c:v>
                </c:pt>
                <c:pt idx="18">
                  <c:v>1285.3681203000001</c:v>
                </c:pt>
                <c:pt idx="19">
                  <c:v>1231.6447123</c:v>
                </c:pt>
                <c:pt idx="20">
                  <c:v>1207.0016115999999</c:v>
                </c:pt>
                <c:pt idx="21">
                  <c:v>1117.035666</c:v>
                </c:pt>
                <c:pt idx="22">
                  <c:v>1069.4916616999999</c:v>
                </c:pt>
                <c:pt idx="23">
                  <c:v>1067.9923713999999</c:v>
                </c:pt>
                <c:pt idx="24">
                  <c:v>980.68280149999998</c:v>
                </c:pt>
                <c:pt idx="25">
                  <c:v>920.32332220000001</c:v>
                </c:pt>
                <c:pt idx="26">
                  <c:v>919.39944129999992</c:v>
                </c:pt>
                <c:pt idx="27">
                  <c:v>894.22331480000003</c:v>
                </c:pt>
                <c:pt idx="28">
                  <c:v>890.49235880000003</c:v>
                </c:pt>
                <c:pt idx="29">
                  <c:v>881.71010789999991</c:v>
                </c:pt>
                <c:pt idx="30">
                  <c:v>878.73070369999994</c:v>
                </c:pt>
                <c:pt idx="31">
                  <c:v>867.26665560000004</c:v>
                </c:pt>
                <c:pt idx="32">
                  <c:v>848.43341859999998</c:v>
                </c:pt>
                <c:pt idx="33">
                  <c:v>829.71669279999992</c:v>
                </c:pt>
                <c:pt idx="34">
                  <c:v>777.79708819999996</c:v>
                </c:pt>
                <c:pt idx="35">
                  <c:v>776.5791117</c:v>
                </c:pt>
                <c:pt idx="36">
                  <c:v>761.31538520000004</c:v>
                </c:pt>
                <c:pt idx="37">
                  <c:v>758.86629400000004</c:v>
                </c:pt>
                <c:pt idx="38">
                  <c:v>726.81346289999999</c:v>
                </c:pt>
                <c:pt idx="39">
                  <c:v>703.6659621</c:v>
                </c:pt>
                <c:pt idx="40">
                  <c:v>697.82631499999991</c:v>
                </c:pt>
                <c:pt idx="41">
                  <c:v>693.81848149999996</c:v>
                </c:pt>
                <c:pt idx="42">
                  <c:v>690.33669380000003</c:v>
                </c:pt>
                <c:pt idx="43">
                  <c:v>642.41811439999992</c:v>
                </c:pt>
                <c:pt idx="44">
                  <c:v>635.42215750000003</c:v>
                </c:pt>
                <c:pt idx="45">
                  <c:v>633.52597360000004</c:v>
                </c:pt>
                <c:pt idx="46">
                  <c:v>617.6395882999999</c:v>
                </c:pt>
                <c:pt idx="47">
                  <c:v>616.09085100000004</c:v>
                </c:pt>
                <c:pt idx="48">
                  <c:v>607.7649017</c:v>
                </c:pt>
                <c:pt idx="49">
                  <c:v>541.14241119999997</c:v>
                </c:pt>
                <c:pt idx="50">
                  <c:v>534.16816879999999</c:v>
                </c:pt>
                <c:pt idx="51">
                  <c:v>513.8062923</c:v>
                </c:pt>
                <c:pt idx="52">
                  <c:v>493.09499360000001</c:v>
                </c:pt>
                <c:pt idx="53">
                  <c:v>481.1971102</c:v>
                </c:pt>
                <c:pt idx="54">
                  <c:v>445.53379039999999</c:v>
                </c:pt>
                <c:pt idx="55">
                  <c:v>410.79165649999999</c:v>
                </c:pt>
                <c:pt idx="56">
                  <c:v>403.99476429999999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22-49FA-BF1C-FA5FD3D2A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9865711"/>
        <c:axId val="269866671"/>
      </c:barChart>
      <c:lineChart>
        <c:grouping val="standard"/>
        <c:varyColors val="0"/>
        <c:ser>
          <c:idx val="0"/>
          <c:order val="0"/>
          <c:tx>
            <c:strRef>
              <c:f>'Low Fat Mass Results'!$C$98</c:f>
              <c:strCache>
                <c:ptCount val="1"/>
                <c:pt idx="0">
                  <c:v>Body length(m)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'Low Fat Mass Results'!$B$99:$B$155</c:f>
              <c:strCache>
                <c:ptCount val="57"/>
                <c:pt idx="0">
                  <c:v>Utatsusaurus hataii-245Ma</c:v>
                </c:pt>
                <c:pt idx="1">
                  <c:v>Omphalosaurus wolfi-240Ma</c:v>
                </c:pt>
                <c:pt idx="2">
                  <c:v>Cymbospondylus buchseri-240Ma</c:v>
                </c:pt>
                <c:pt idx="3">
                  <c:v>Besanosaurus leptorhynchus-240Ma</c:v>
                </c:pt>
                <c:pt idx="4">
                  <c:v>Mixosaurus cornalianus-240Ma</c:v>
                </c:pt>
                <c:pt idx="5">
                  <c:v>Phalarodon atavus-245Ma</c:v>
                </c:pt>
                <c:pt idx="6">
                  <c:v>Mikadocephalus gracilirostris-240Ma</c:v>
                </c:pt>
                <c:pt idx="7">
                  <c:v>Mikadocephalus gracilirostris-245Ma</c:v>
                </c:pt>
                <c:pt idx="8">
                  <c:v>Mixosaurus cornalianus-245Ma</c:v>
                </c:pt>
                <c:pt idx="9">
                  <c:v>Cymbospondylus buchseri-245Ma</c:v>
                </c:pt>
                <c:pt idx="10">
                  <c:v>Besanosaurus leptorhynchus-245Ma</c:v>
                </c:pt>
                <c:pt idx="11">
                  <c:v>Cymbospondylus duelferi-240Ma</c:v>
                </c:pt>
                <c:pt idx="12">
                  <c:v>Shastasaurus pacificus-235Ma</c:v>
                </c:pt>
                <c:pt idx="13">
                  <c:v>Thaisaurus chonglakmanii-245Ma</c:v>
                </c:pt>
                <c:pt idx="14">
                  <c:v>Phalarodon fraasi-245Ma</c:v>
                </c:pt>
                <c:pt idx="15">
                  <c:v>Phalarodon callawayi-240Ma</c:v>
                </c:pt>
                <c:pt idx="16">
                  <c:v>Cymbospondylus nichollsi-240Ma</c:v>
                </c:pt>
                <c:pt idx="17">
                  <c:v>Phalarodon fraasi-240Ma</c:v>
                </c:pt>
                <c:pt idx="18">
                  <c:v>Shastasaurus tangae-230Ma</c:v>
                </c:pt>
                <c:pt idx="19">
                  <c:v>Callarwayia wolongganagense-230Ma</c:v>
                </c:pt>
                <c:pt idx="20">
                  <c:v>Hudsonelpidia brevirostris-225Ma</c:v>
                </c:pt>
                <c:pt idx="21">
                  <c:v>Parvinatator wapitiensis-240Ma</c:v>
                </c:pt>
                <c:pt idx="22">
                  <c:v>Cymbospondylus piscosus-240Ma</c:v>
                </c:pt>
                <c:pt idx="23">
                  <c:v>Macgowania janiceps-220Ma</c:v>
                </c:pt>
                <c:pt idx="24">
                  <c:v>Parvinatator wapitiensis-245Ma</c:v>
                </c:pt>
                <c:pt idx="25">
                  <c:v>Gulosaurus helmi-245Ma</c:v>
                </c:pt>
                <c:pt idx="26">
                  <c:v>Himalayasaurus tibetensis-220Ma</c:v>
                </c:pt>
                <c:pt idx="27">
                  <c:v>Cymbospondylus duelferi-245Ma</c:v>
                </c:pt>
                <c:pt idx="28">
                  <c:v>Himalayasaurus tibetensis-215Ma</c:v>
                </c:pt>
                <c:pt idx="29">
                  <c:v>Omphalosaurus nevadanus-245Ma</c:v>
                </c:pt>
                <c:pt idx="30">
                  <c:v>Cymbospondylus nichollsi-245Ma</c:v>
                </c:pt>
                <c:pt idx="31">
                  <c:v>Cymbospondylus piscosus-245Ma</c:v>
                </c:pt>
                <c:pt idx="32">
                  <c:v>Callawayia neoscapularis-220Ma</c:v>
                </c:pt>
                <c:pt idx="33">
                  <c:v>Shonisaurus popularis-230Ma</c:v>
                </c:pt>
                <c:pt idx="34">
                  <c:v>Thalattoarchon saurophagis-245Ma</c:v>
                </c:pt>
                <c:pt idx="35">
                  <c:v>Grippia longirostris-245Ma</c:v>
                </c:pt>
                <c:pt idx="36">
                  <c:v>Hudsonelpidia brevirostris-220Ma</c:v>
                </c:pt>
                <c:pt idx="37">
                  <c:v>Quasianosteosaurus vikinghoegdai-245Ma</c:v>
                </c:pt>
                <c:pt idx="38">
                  <c:v>Shastasaurus sikanniensis-215Ma</c:v>
                </c:pt>
                <c:pt idx="39">
                  <c:v>Toretocnemus zitteli-230Ma</c:v>
                </c:pt>
                <c:pt idx="40">
                  <c:v>Phantomosaurus neubigi-245Ma</c:v>
                </c:pt>
                <c:pt idx="41">
                  <c:v>Shastasaurus pacificus-230Ma</c:v>
                </c:pt>
                <c:pt idx="42">
                  <c:v>Californosaurus perrini-230Ma</c:v>
                </c:pt>
                <c:pt idx="43">
                  <c:v>Chaohusaurus zhangjiawanensis-245Ma</c:v>
                </c:pt>
                <c:pt idx="44">
                  <c:v>Xinminosaurus catactes-245Ma</c:v>
                </c:pt>
                <c:pt idx="45">
                  <c:v>Toretocnemus californicus-230Ma</c:v>
                </c:pt>
                <c:pt idx="46">
                  <c:v>Chaohusaurus chaoxianensis-245Ma</c:v>
                </c:pt>
                <c:pt idx="47">
                  <c:v>Phalarodon callawayi-245Ma</c:v>
                </c:pt>
                <c:pt idx="48">
                  <c:v>Chaohusaurus geishanensis-245Ma</c:v>
                </c:pt>
                <c:pt idx="49">
                  <c:v>Sclerocormus parviceps-245Ma</c:v>
                </c:pt>
                <c:pt idx="50">
                  <c:v>Cartorhynchus lenticarpus-245Ma</c:v>
                </c:pt>
                <c:pt idx="51">
                  <c:v>Barracudasauroides panxianensis-245Ma</c:v>
                </c:pt>
                <c:pt idx="52">
                  <c:v>Shastasaurus liangae-235Ma</c:v>
                </c:pt>
                <c:pt idx="53">
                  <c:v>Shastasaurus tangae-235Ma</c:v>
                </c:pt>
                <c:pt idx="54">
                  <c:v>Callarwayia wolongganagense-235Ma</c:v>
                </c:pt>
                <c:pt idx="55">
                  <c:v>Qianichthyosaurus zhoui-235Ma</c:v>
                </c:pt>
                <c:pt idx="56">
                  <c:v>Qianichthyosaurus xingyiensis-235Ma</c:v>
                </c:pt>
              </c:strCache>
            </c:strRef>
          </c:cat>
          <c:val>
            <c:numRef>
              <c:f>'Low Fat Mass Results'!$C$99:$C$155</c:f>
              <c:numCache>
                <c:formatCode>General</c:formatCode>
                <c:ptCount val="57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1.5</c:v>
                </c:pt>
                <c:pt idx="5">
                  <c:v>1.5</c:v>
                </c:pt>
                <c:pt idx="6">
                  <c:v>3</c:v>
                </c:pt>
                <c:pt idx="7">
                  <c:v>1.5</c:v>
                </c:pt>
                <c:pt idx="8">
                  <c:v>2</c:v>
                </c:pt>
                <c:pt idx="9">
                  <c:v>2</c:v>
                </c:pt>
                <c:pt idx="10">
                  <c:v>8</c:v>
                </c:pt>
                <c:pt idx="11">
                  <c:v>5.5</c:v>
                </c:pt>
                <c:pt idx="12">
                  <c:v>21</c:v>
                </c:pt>
                <c:pt idx="13">
                  <c:v>3</c:v>
                </c:pt>
                <c:pt idx="14">
                  <c:v>5</c:v>
                </c:pt>
                <c:pt idx="15">
                  <c:v>1.5</c:v>
                </c:pt>
                <c:pt idx="16">
                  <c:v>4.3</c:v>
                </c:pt>
                <c:pt idx="17">
                  <c:v>1</c:v>
                </c:pt>
                <c:pt idx="18">
                  <c:v>10</c:v>
                </c:pt>
                <c:pt idx="19">
                  <c:v>3</c:v>
                </c:pt>
                <c:pt idx="20">
                  <c:v>15</c:v>
                </c:pt>
                <c:pt idx="21">
                  <c:v>1</c:v>
                </c:pt>
                <c:pt idx="22">
                  <c:v>7.6</c:v>
                </c:pt>
                <c:pt idx="23">
                  <c:v>3</c:v>
                </c:pt>
                <c:pt idx="24">
                  <c:v>1</c:v>
                </c:pt>
                <c:pt idx="25">
                  <c:v>18</c:v>
                </c:pt>
                <c:pt idx="26">
                  <c:v>1.5</c:v>
                </c:pt>
                <c:pt idx="27">
                  <c:v>5.5</c:v>
                </c:pt>
                <c:pt idx="28">
                  <c:v>1.5</c:v>
                </c:pt>
                <c:pt idx="29">
                  <c:v>3.5</c:v>
                </c:pt>
                <c:pt idx="30">
                  <c:v>4.3</c:v>
                </c:pt>
                <c:pt idx="31">
                  <c:v>7.6</c:v>
                </c:pt>
                <c:pt idx="32">
                  <c:v>2</c:v>
                </c:pt>
                <c:pt idx="33">
                  <c:v>1.5</c:v>
                </c:pt>
                <c:pt idx="34">
                  <c:v>8.6</c:v>
                </c:pt>
                <c:pt idx="35">
                  <c:v>18</c:v>
                </c:pt>
                <c:pt idx="36">
                  <c:v>15</c:v>
                </c:pt>
                <c:pt idx="37">
                  <c:v>1.6</c:v>
                </c:pt>
                <c:pt idx="38">
                  <c:v>10</c:v>
                </c:pt>
                <c:pt idx="39">
                  <c:v>2</c:v>
                </c:pt>
                <c:pt idx="40">
                  <c:v>1.3</c:v>
                </c:pt>
                <c:pt idx="41">
                  <c:v>7</c:v>
                </c:pt>
                <c:pt idx="42">
                  <c:v>3</c:v>
                </c:pt>
                <c:pt idx="43">
                  <c:v>1</c:v>
                </c:pt>
                <c:pt idx="44">
                  <c:v>2.2999999999999998</c:v>
                </c:pt>
                <c:pt idx="45">
                  <c:v>1</c:v>
                </c:pt>
                <c:pt idx="46">
                  <c:v>1.3</c:v>
                </c:pt>
                <c:pt idx="47">
                  <c:v>1</c:v>
                </c:pt>
                <c:pt idx="48">
                  <c:v>1.8</c:v>
                </c:pt>
                <c:pt idx="49">
                  <c:v>9.25</c:v>
                </c:pt>
                <c:pt idx="50">
                  <c:v>0.4</c:v>
                </c:pt>
                <c:pt idx="51">
                  <c:v>1</c:v>
                </c:pt>
                <c:pt idx="52">
                  <c:v>7</c:v>
                </c:pt>
                <c:pt idx="53">
                  <c:v>15</c:v>
                </c:pt>
                <c:pt idx="54">
                  <c:v>3</c:v>
                </c:pt>
                <c:pt idx="55">
                  <c:v>0.5</c:v>
                </c:pt>
                <c:pt idx="56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22-49FA-BF1C-FA5FD3D2AA82}"/>
            </c:ext>
          </c:extLst>
        </c:ser>
        <c:ser>
          <c:idx val="2"/>
          <c:order val="2"/>
          <c:tx>
            <c:strRef>
              <c:f>'Low Fat Mass Results'!$H$98</c:f>
              <c:strCache>
                <c:ptCount val="1"/>
                <c:pt idx="0">
                  <c:v>Average completion time (year/Agent)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'Low Fat Mass Results'!$B$99:$B$155</c:f>
              <c:strCache>
                <c:ptCount val="57"/>
                <c:pt idx="0">
                  <c:v>Utatsusaurus hataii-245Ma</c:v>
                </c:pt>
                <c:pt idx="1">
                  <c:v>Omphalosaurus wolfi-240Ma</c:v>
                </c:pt>
                <c:pt idx="2">
                  <c:v>Cymbospondylus buchseri-240Ma</c:v>
                </c:pt>
                <c:pt idx="3">
                  <c:v>Besanosaurus leptorhynchus-240Ma</c:v>
                </c:pt>
                <c:pt idx="4">
                  <c:v>Mixosaurus cornalianus-240Ma</c:v>
                </c:pt>
                <c:pt idx="5">
                  <c:v>Phalarodon atavus-245Ma</c:v>
                </c:pt>
                <c:pt idx="6">
                  <c:v>Mikadocephalus gracilirostris-240Ma</c:v>
                </c:pt>
                <c:pt idx="7">
                  <c:v>Mikadocephalus gracilirostris-245Ma</c:v>
                </c:pt>
                <c:pt idx="8">
                  <c:v>Mixosaurus cornalianus-245Ma</c:v>
                </c:pt>
                <c:pt idx="9">
                  <c:v>Cymbospondylus buchseri-245Ma</c:v>
                </c:pt>
                <c:pt idx="10">
                  <c:v>Besanosaurus leptorhynchus-245Ma</c:v>
                </c:pt>
                <c:pt idx="11">
                  <c:v>Cymbospondylus duelferi-240Ma</c:v>
                </c:pt>
                <c:pt idx="12">
                  <c:v>Shastasaurus pacificus-235Ma</c:v>
                </c:pt>
                <c:pt idx="13">
                  <c:v>Thaisaurus chonglakmanii-245Ma</c:v>
                </c:pt>
                <c:pt idx="14">
                  <c:v>Phalarodon fraasi-245Ma</c:v>
                </c:pt>
                <c:pt idx="15">
                  <c:v>Phalarodon callawayi-240Ma</c:v>
                </c:pt>
                <c:pt idx="16">
                  <c:v>Cymbospondylus nichollsi-240Ma</c:v>
                </c:pt>
                <c:pt idx="17">
                  <c:v>Phalarodon fraasi-240Ma</c:v>
                </c:pt>
                <c:pt idx="18">
                  <c:v>Shastasaurus tangae-230Ma</c:v>
                </c:pt>
                <c:pt idx="19">
                  <c:v>Callarwayia wolongganagense-230Ma</c:v>
                </c:pt>
                <c:pt idx="20">
                  <c:v>Hudsonelpidia brevirostris-225Ma</c:v>
                </c:pt>
                <c:pt idx="21">
                  <c:v>Parvinatator wapitiensis-240Ma</c:v>
                </c:pt>
                <c:pt idx="22">
                  <c:v>Cymbospondylus piscosus-240Ma</c:v>
                </c:pt>
                <c:pt idx="23">
                  <c:v>Macgowania janiceps-220Ma</c:v>
                </c:pt>
                <c:pt idx="24">
                  <c:v>Parvinatator wapitiensis-245Ma</c:v>
                </c:pt>
                <c:pt idx="25">
                  <c:v>Gulosaurus helmi-245Ma</c:v>
                </c:pt>
                <c:pt idx="26">
                  <c:v>Himalayasaurus tibetensis-220Ma</c:v>
                </c:pt>
                <c:pt idx="27">
                  <c:v>Cymbospondylus duelferi-245Ma</c:v>
                </c:pt>
                <c:pt idx="28">
                  <c:v>Himalayasaurus tibetensis-215Ma</c:v>
                </c:pt>
                <c:pt idx="29">
                  <c:v>Omphalosaurus nevadanus-245Ma</c:v>
                </c:pt>
                <c:pt idx="30">
                  <c:v>Cymbospondylus nichollsi-245Ma</c:v>
                </c:pt>
                <c:pt idx="31">
                  <c:v>Cymbospondylus piscosus-245Ma</c:v>
                </c:pt>
                <c:pt idx="32">
                  <c:v>Callawayia neoscapularis-220Ma</c:v>
                </c:pt>
                <c:pt idx="33">
                  <c:v>Shonisaurus popularis-230Ma</c:v>
                </c:pt>
                <c:pt idx="34">
                  <c:v>Thalattoarchon saurophagis-245Ma</c:v>
                </c:pt>
                <c:pt idx="35">
                  <c:v>Grippia longirostris-245Ma</c:v>
                </c:pt>
                <c:pt idx="36">
                  <c:v>Hudsonelpidia brevirostris-220Ma</c:v>
                </c:pt>
                <c:pt idx="37">
                  <c:v>Quasianosteosaurus vikinghoegdai-245Ma</c:v>
                </c:pt>
                <c:pt idx="38">
                  <c:v>Shastasaurus sikanniensis-215Ma</c:v>
                </c:pt>
                <c:pt idx="39">
                  <c:v>Toretocnemus zitteli-230Ma</c:v>
                </c:pt>
                <c:pt idx="40">
                  <c:v>Phantomosaurus neubigi-245Ma</c:v>
                </c:pt>
                <c:pt idx="41">
                  <c:v>Shastasaurus pacificus-230Ma</c:v>
                </c:pt>
                <c:pt idx="42">
                  <c:v>Californosaurus perrini-230Ma</c:v>
                </c:pt>
                <c:pt idx="43">
                  <c:v>Chaohusaurus zhangjiawanensis-245Ma</c:v>
                </c:pt>
                <c:pt idx="44">
                  <c:v>Xinminosaurus catactes-245Ma</c:v>
                </c:pt>
                <c:pt idx="45">
                  <c:v>Toretocnemus californicus-230Ma</c:v>
                </c:pt>
                <c:pt idx="46">
                  <c:v>Chaohusaurus chaoxianensis-245Ma</c:v>
                </c:pt>
                <c:pt idx="47">
                  <c:v>Phalarodon callawayi-245Ma</c:v>
                </c:pt>
                <c:pt idx="48">
                  <c:v>Chaohusaurus geishanensis-245Ma</c:v>
                </c:pt>
                <c:pt idx="49">
                  <c:v>Sclerocormus parviceps-245Ma</c:v>
                </c:pt>
                <c:pt idx="50">
                  <c:v>Cartorhynchus lenticarpus-245Ma</c:v>
                </c:pt>
                <c:pt idx="51">
                  <c:v>Barracudasauroides panxianensis-245Ma</c:v>
                </c:pt>
                <c:pt idx="52">
                  <c:v>Shastasaurus liangae-235Ma</c:v>
                </c:pt>
                <c:pt idx="53">
                  <c:v>Shastasaurus tangae-235Ma</c:v>
                </c:pt>
                <c:pt idx="54">
                  <c:v>Callarwayia wolongganagense-235Ma</c:v>
                </c:pt>
                <c:pt idx="55">
                  <c:v>Qianichthyosaurus zhoui-235Ma</c:v>
                </c:pt>
                <c:pt idx="56">
                  <c:v>Qianichthyosaurus xingyiensis-235Ma</c:v>
                </c:pt>
              </c:strCache>
            </c:strRef>
          </c:cat>
          <c:val>
            <c:numRef>
              <c:f>'Low Fat Mass Results'!$H$99:$H$155</c:f>
              <c:numCache>
                <c:formatCode>0.0_);[Red]\(0.0\)</c:formatCode>
                <c:ptCount val="57"/>
                <c:pt idx="0">
                  <c:v>8.0420863838412764</c:v>
                </c:pt>
                <c:pt idx="1">
                  <c:v>7.586998917914177</c:v>
                </c:pt>
                <c:pt idx="2">
                  <c:v>5.8641082876585804</c:v>
                </c:pt>
                <c:pt idx="3">
                  <c:v>4.2902612408254539</c:v>
                </c:pt>
                <c:pt idx="4">
                  <c:v>10.625952095954528</c:v>
                </c:pt>
                <c:pt idx="5">
                  <c:v>11.998799637348316</c:v>
                </c:pt>
                <c:pt idx="6">
                  <c:v>10.182963062891806</c:v>
                </c:pt>
                <c:pt idx="7">
                  <c:v>10.687743376443953</c:v>
                </c:pt>
                <c:pt idx="8">
                  <c:v>11.320586555024988</c:v>
                </c:pt>
                <c:pt idx="9">
                  <c:v>5.9450867323428138</c:v>
                </c:pt>
                <c:pt idx="10">
                  <c:v>4.2826267028416574</c:v>
                </c:pt>
                <c:pt idx="11">
                  <c:v>6.8988259287749081</c:v>
                </c:pt>
                <c:pt idx="12">
                  <c:v>3.5940307319617264</c:v>
                </c:pt>
                <c:pt idx="13">
                  <c:v>11.810593752655503</c:v>
                </c:pt>
                <c:pt idx="14">
                  <c:v>12.070974025273449</c:v>
                </c:pt>
                <c:pt idx="15">
                  <c:v>9.7591729041855189</c:v>
                </c:pt>
                <c:pt idx="16">
                  <c:v>4.956462973004661</c:v>
                </c:pt>
                <c:pt idx="17">
                  <c:v>12.398205028870148</c:v>
                </c:pt>
                <c:pt idx="18">
                  <c:v>3.7436832771193873</c:v>
                </c:pt>
                <c:pt idx="19">
                  <c:v>10.868662641713803</c:v>
                </c:pt>
                <c:pt idx="20">
                  <c:v>7.8186820304353439</c:v>
                </c:pt>
                <c:pt idx="21">
                  <c:v>14.957122762969146</c:v>
                </c:pt>
                <c:pt idx="22">
                  <c:v>3.0410203624293826</c:v>
                </c:pt>
                <c:pt idx="23">
                  <c:v>6.8798914514985103</c:v>
                </c:pt>
                <c:pt idx="24">
                  <c:v>15.251345447565242</c:v>
                </c:pt>
                <c:pt idx="25">
                  <c:v>11.971407315785374</c:v>
                </c:pt>
                <c:pt idx="26">
                  <c:v>3.4015842196156458</c:v>
                </c:pt>
                <c:pt idx="27">
                  <c:v>6.9722703502038623</c:v>
                </c:pt>
                <c:pt idx="28">
                  <c:v>3.4016381280790049</c:v>
                </c:pt>
                <c:pt idx="29">
                  <c:v>7.9312494918069039</c:v>
                </c:pt>
                <c:pt idx="30">
                  <c:v>5.0315998688313517</c:v>
                </c:pt>
                <c:pt idx="31">
                  <c:v>3.0435798002198444</c:v>
                </c:pt>
                <c:pt idx="32">
                  <c:v>9.2582067132490327</c:v>
                </c:pt>
                <c:pt idx="33">
                  <c:v>2.9915893153507422</c:v>
                </c:pt>
                <c:pt idx="34">
                  <c:v>4.6607313580909118</c:v>
                </c:pt>
                <c:pt idx="35">
                  <c:v>11.172397161178731</c:v>
                </c:pt>
                <c:pt idx="36">
                  <c:v>8.6166412892111559</c:v>
                </c:pt>
                <c:pt idx="37">
                  <c:v>20.491309507365738</c:v>
                </c:pt>
                <c:pt idx="38">
                  <c:v>2.525394502523814</c:v>
                </c:pt>
                <c:pt idx="39">
                  <c:v>8.7797790951006629</c:v>
                </c:pt>
                <c:pt idx="40">
                  <c:v>5.0980834935819059</c:v>
                </c:pt>
                <c:pt idx="41">
                  <c:v>4.7615894330555397</c:v>
                </c:pt>
                <c:pt idx="42">
                  <c:v>7.2699301500747557</c:v>
                </c:pt>
                <c:pt idx="43">
                  <c:v>13.503281911135845</c:v>
                </c:pt>
                <c:pt idx="44">
                  <c:v>7.5781183705736304</c:v>
                </c:pt>
                <c:pt idx="45">
                  <c:v>8.9208620389212001</c:v>
                </c:pt>
                <c:pt idx="46">
                  <c:v>11.481795009216516</c:v>
                </c:pt>
                <c:pt idx="47">
                  <c:v>10.500276503429429</c:v>
                </c:pt>
                <c:pt idx="48">
                  <c:v>9.7319239184574773</c:v>
                </c:pt>
                <c:pt idx="49">
                  <c:v>11.401967631967702</c:v>
                </c:pt>
                <c:pt idx="50">
                  <c:v>18.261708260134355</c:v>
                </c:pt>
                <c:pt idx="51">
                  <c:v>9.9966640368172879</c:v>
                </c:pt>
                <c:pt idx="52">
                  <c:v>3.694595522165145</c:v>
                </c:pt>
                <c:pt idx="53">
                  <c:v>3.5869426341311832</c:v>
                </c:pt>
                <c:pt idx="54">
                  <c:v>8.3997923133238519</c:v>
                </c:pt>
                <c:pt idx="55">
                  <c:v>7.398916647159119</c:v>
                </c:pt>
                <c:pt idx="56">
                  <c:v>7.8413119397252187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22-49FA-BF1C-FA5FD3D2A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7043200"/>
        <c:axId val="2027042720"/>
      </c:lineChart>
      <c:catAx>
        <c:axId val="26986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9866671"/>
        <c:crosses val="autoZero"/>
        <c:auto val="1"/>
        <c:lblAlgn val="ctr"/>
        <c:lblOffset val="100"/>
        <c:noMultiLvlLbl val="0"/>
      </c:catAx>
      <c:valAx>
        <c:axId val="26986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9865711"/>
        <c:crosses val="autoZero"/>
        <c:crossBetween val="between"/>
      </c:valAx>
      <c:valAx>
        <c:axId val="20270427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7043200"/>
        <c:crosses val="max"/>
        <c:crossBetween val="between"/>
      </c:valAx>
      <c:catAx>
        <c:axId val="2027043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27042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528279192129846E-2"/>
          <c:y val="8.5242058484202993E-3"/>
          <c:w val="0.95314958262085792"/>
          <c:h val="0.6560125708225758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'Low Fat Mass Results'!$B$157:$B$190</c:f>
              <c:strCache>
                <c:ptCount val="34"/>
                <c:pt idx="0">
                  <c:v>Cyamodus hildegardis-245Ma</c:v>
                </c:pt>
                <c:pt idx="1">
                  <c:v>Paraplacodus broilli-245Ma</c:v>
                </c:pt>
                <c:pt idx="2">
                  <c:v>Helveticosaurus zollingeri-240Ma</c:v>
                </c:pt>
                <c:pt idx="3">
                  <c:v>Cyamodus rostratus-240Ma</c:v>
                </c:pt>
                <c:pt idx="4">
                  <c:v>Cyamodus kuhnschnyderi-240Ma</c:v>
                </c:pt>
                <c:pt idx="5">
                  <c:v>Cyamodus muensteri-240Ma</c:v>
                </c:pt>
                <c:pt idx="6">
                  <c:v>Henodus chelyops-240Ma</c:v>
                </c:pt>
                <c:pt idx="7">
                  <c:v>Helveticosaurus zollingeri-245Ma</c:v>
                </c:pt>
                <c:pt idx="8">
                  <c:v>Placochelys placodonta-240Ma</c:v>
                </c:pt>
                <c:pt idx="9">
                  <c:v>Eusaurosphargis dalsassoi-245Ma</c:v>
                </c:pt>
                <c:pt idx="10">
                  <c:v>Placodus gigas-240Ma</c:v>
                </c:pt>
                <c:pt idx="11">
                  <c:v>Psephosauriscus rhombifer-240Ma</c:v>
                </c:pt>
                <c:pt idx="12">
                  <c:v>Psephosauriscus mosis-245Ma</c:v>
                </c:pt>
                <c:pt idx="13">
                  <c:v>Psephosauriscus ramonensis-245Ma</c:v>
                </c:pt>
                <c:pt idx="14">
                  <c:v>Psephosauriscus sinaiticus-245Ma</c:v>
                </c:pt>
                <c:pt idx="15">
                  <c:v>Pararcus diepenbroek-240Ma</c:v>
                </c:pt>
                <c:pt idx="16">
                  <c:v>Atopodentatus unicus-245Ma</c:v>
                </c:pt>
                <c:pt idx="17">
                  <c:v>Psephoderma alpinum-215Ma</c:v>
                </c:pt>
                <c:pt idx="18">
                  <c:v>Psephoderma alpinum-20Ma5Ma</c:v>
                </c:pt>
                <c:pt idx="19">
                  <c:v>Glyphoderma kangi-240Ma</c:v>
                </c:pt>
                <c:pt idx="20">
                  <c:v>Psephoderma alpinum-210Ma</c:v>
                </c:pt>
                <c:pt idx="21">
                  <c:v>Henodus chelyops-235Ma</c:v>
                </c:pt>
                <c:pt idx="22">
                  <c:v>Macroplacus raeticus-20Ma5Ma</c:v>
                </c:pt>
                <c:pt idx="23">
                  <c:v>Pararcus diepenbroek-245Ma</c:v>
                </c:pt>
                <c:pt idx="24">
                  <c:v>Placochelys placodonta-235Ma</c:v>
                </c:pt>
                <c:pt idx="25">
                  <c:v>Placodus inexpectatus-245Ma</c:v>
                </c:pt>
                <c:pt idx="26">
                  <c:v>Placodus gigas-245Ma</c:v>
                </c:pt>
                <c:pt idx="27">
                  <c:v>Cyamodus muensteri-245Ma</c:v>
                </c:pt>
                <c:pt idx="28">
                  <c:v>Cyamodus rostratus-245Ma</c:v>
                </c:pt>
                <c:pt idx="29">
                  <c:v>Palatodonta bleekeri--245Ma</c:v>
                </c:pt>
                <c:pt idx="30">
                  <c:v>Cyamodus orientalis-235Ma</c:v>
                </c:pt>
                <c:pt idx="31">
                  <c:v>Glyphoderma kangi-235Ma</c:v>
                </c:pt>
                <c:pt idx="32">
                  <c:v>Sinocyamodus xinpuensis-235Ma</c:v>
                </c:pt>
                <c:pt idx="33">
                  <c:v>Psephochelys polyosteoderma-235Ma</c:v>
                </c:pt>
              </c:strCache>
            </c:strRef>
          </c:cat>
          <c:val>
            <c:numRef>
              <c:f>'Low Fat Mass Results'!$G$157:$G$190</c:f>
              <c:numCache>
                <c:formatCode>General</c:formatCode>
                <c:ptCount val="34"/>
                <c:pt idx="0">
                  <c:v>2904.7971966</c:v>
                </c:pt>
                <c:pt idx="1">
                  <c:v>2748.8857014</c:v>
                </c:pt>
                <c:pt idx="2">
                  <c:v>2625.5030499</c:v>
                </c:pt>
                <c:pt idx="3">
                  <c:v>2586.1089287999998</c:v>
                </c:pt>
                <c:pt idx="4">
                  <c:v>2555.6293295999999</c:v>
                </c:pt>
                <c:pt idx="5">
                  <c:v>2382.5637968000001</c:v>
                </c:pt>
                <c:pt idx="6">
                  <c:v>2084.4096104999999</c:v>
                </c:pt>
                <c:pt idx="7">
                  <c:v>1953.4325143999999</c:v>
                </c:pt>
                <c:pt idx="8">
                  <c:v>1635.9648061</c:v>
                </c:pt>
                <c:pt idx="9">
                  <c:v>1590.3131877999999</c:v>
                </c:pt>
                <c:pt idx="10">
                  <c:v>1219.37898</c:v>
                </c:pt>
                <c:pt idx="11">
                  <c:v>1110.4864259999999</c:v>
                </c:pt>
                <c:pt idx="12">
                  <c:v>1073.1859371</c:v>
                </c:pt>
                <c:pt idx="13">
                  <c:v>1051.1323932</c:v>
                </c:pt>
                <c:pt idx="14">
                  <c:v>1014.9033471</c:v>
                </c:pt>
                <c:pt idx="15">
                  <c:v>749.32666229999995</c:v>
                </c:pt>
                <c:pt idx="16">
                  <c:v>749.13092760000006</c:v>
                </c:pt>
                <c:pt idx="17">
                  <c:v>721.46772770000007</c:v>
                </c:pt>
                <c:pt idx="18">
                  <c:v>718.08914989999994</c:v>
                </c:pt>
                <c:pt idx="19">
                  <c:v>689.16923220000001</c:v>
                </c:pt>
                <c:pt idx="20">
                  <c:v>669.97640780000006</c:v>
                </c:pt>
                <c:pt idx="21">
                  <c:v>644.51083800000004</c:v>
                </c:pt>
                <c:pt idx="22">
                  <c:v>581.30349200000001</c:v>
                </c:pt>
                <c:pt idx="23">
                  <c:v>567.55426980000004</c:v>
                </c:pt>
                <c:pt idx="24">
                  <c:v>563.02673829999992</c:v>
                </c:pt>
                <c:pt idx="25">
                  <c:v>560.27001789999997</c:v>
                </c:pt>
                <c:pt idx="26">
                  <c:v>527.15571329999989</c:v>
                </c:pt>
                <c:pt idx="27">
                  <c:v>525.77019499999994</c:v>
                </c:pt>
                <c:pt idx="28">
                  <c:v>491.57458170000001</c:v>
                </c:pt>
                <c:pt idx="29">
                  <c:v>486.45187959999998</c:v>
                </c:pt>
                <c:pt idx="30">
                  <c:v>409.02632519999997</c:v>
                </c:pt>
                <c:pt idx="31">
                  <c:v>406.2340385</c:v>
                </c:pt>
                <c:pt idx="32">
                  <c:v>393.21261750000002</c:v>
                </c:pt>
                <c:pt idx="33">
                  <c:v>365.20176040000001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84-4A77-814A-C1795743C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6342959"/>
        <c:axId val="1116334319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'Low Fat Mass Results'!$B$157:$B$190</c:f>
              <c:strCache>
                <c:ptCount val="34"/>
                <c:pt idx="0">
                  <c:v>Cyamodus hildegardis-245Ma</c:v>
                </c:pt>
                <c:pt idx="1">
                  <c:v>Paraplacodus broilli-245Ma</c:v>
                </c:pt>
                <c:pt idx="2">
                  <c:v>Helveticosaurus zollingeri-240Ma</c:v>
                </c:pt>
                <c:pt idx="3">
                  <c:v>Cyamodus rostratus-240Ma</c:v>
                </c:pt>
                <c:pt idx="4">
                  <c:v>Cyamodus kuhnschnyderi-240Ma</c:v>
                </c:pt>
                <c:pt idx="5">
                  <c:v>Cyamodus muensteri-240Ma</c:v>
                </c:pt>
                <c:pt idx="6">
                  <c:v>Henodus chelyops-240Ma</c:v>
                </c:pt>
                <c:pt idx="7">
                  <c:v>Helveticosaurus zollingeri-245Ma</c:v>
                </c:pt>
                <c:pt idx="8">
                  <c:v>Placochelys placodonta-240Ma</c:v>
                </c:pt>
                <c:pt idx="9">
                  <c:v>Eusaurosphargis dalsassoi-245Ma</c:v>
                </c:pt>
                <c:pt idx="10">
                  <c:v>Placodus gigas-240Ma</c:v>
                </c:pt>
                <c:pt idx="11">
                  <c:v>Psephosauriscus rhombifer-240Ma</c:v>
                </c:pt>
                <c:pt idx="12">
                  <c:v>Psephosauriscus mosis-245Ma</c:v>
                </c:pt>
                <c:pt idx="13">
                  <c:v>Psephosauriscus ramonensis-245Ma</c:v>
                </c:pt>
                <c:pt idx="14">
                  <c:v>Psephosauriscus sinaiticus-245Ma</c:v>
                </c:pt>
                <c:pt idx="15">
                  <c:v>Pararcus diepenbroek-240Ma</c:v>
                </c:pt>
                <c:pt idx="16">
                  <c:v>Atopodentatus unicus-245Ma</c:v>
                </c:pt>
                <c:pt idx="17">
                  <c:v>Psephoderma alpinum-215Ma</c:v>
                </c:pt>
                <c:pt idx="18">
                  <c:v>Psephoderma alpinum-20Ma5Ma</c:v>
                </c:pt>
                <c:pt idx="19">
                  <c:v>Glyphoderma kangi-240Ma</c:v>
                </c:pt>
                <c:pt idx="20">
                  <c:v>Psephoderma alpinum-210Ma</c:v>
                </c:pt>
                <c:pt idx="21">
                  <c:v>Henodus chelyops-235Ma</c:v>
                </c:pt>
                <c:pt idx="22">
                  <c:v>Macroplacus raeticus-20Ma5Ma</c:v>
                </c:pt>
                <c:pt idx="23">
                  <c:v>Pararcus diepenbroek-245Ma</c:v>
                </c:pt>
                <c:pt idx="24">
                  <c:v>Placochelys placodonta-235Ma</c:v>
                </c:pt>
                <c:pt idx="25">
                  <c:v>Placodus inexpectatus-245Ma</c:v>
                </c:pt>
                <c:pt idx="26">
                  <c:v>Placodus gigas-245Ma</c:v>
                </c:pt>
                <c:pt idx="27">
                  <c:v>Cyamodus muensteri-245Ma</c:v>
                </c:pt>
                <c:pt idx="28">
                  <c:v>Cyamodus rostratus-245Ma</c:v>
                </c:pt>
                <c:pt idx="29">
                  <c:v>Palatodonta bleekeri--245Ma</c:v>
                </c:pt>
                <c:pt idx="30">
                  <c:v>Cyamodus orientalis-235Ma</c:v>
                </c:pt>
                <c:pt idx="31">
                  <c:v>Glyphoderma kangi-235Ma</c:v>
                </c:pt>
                <c:pt idx="32">
                  <c:v>Sinocyamodus xinpuensis-235Ma</c:v>
                </c:pt>
                <c:pt idx="33">
                  <c:v>Psephochelys polyosteoderma-235Ma</c:v>
                </c:pt>
              </c:strCache>
            </c:strRef>
          </c:cat>
          <c:val>
            <c:numRef>
              <c:f>'Low Fat Mass Results'!$C$157:$C$190</c:f>
              <c:numCache>
                <c:formatCode>General</c:formatCode>
                <c:ptCount val="34"/>
                <c:pt idx="0">
                  <c:v>1.5</c:v>
                </c:pt>
                <c:pt idx="1">
                  <c:v>1.5</c:v>
                </c:pt>
                <c:pt idx="2">
                  <c:v>3.6</c:v>
                </c:pt>
                <c:pt idx="3">
                  <c:v>1.3</c:v>
                </c:pt>
                <c:pt idx="4">
                  <c:v>1.5</c:v>
                </c:pt>
                <c:pt idx="5">
                  <c:v>1.3</c:v>
                </c:pt>
                <c:pt idx="6">
                  <c:v>1</c:v>
                </c:pt>
                <c:pt idx="7">
                  <c:v>3.6</c:v>
                </c:pt>
                <c:pt idx="8">
                  <c:v>0.95</c:v>
                </c:pt>
                <c:pt idx="9">
                  <c:v>0.2</c:v>
                </c:pt>
                <c:pt idx="10">
                  <c:v>2</c:v>
                </c:pt>
                <c:pt idx="11">
                  <c:v>1.3</c:v>
                </c:pt>
                <c:pt idx="12">
                  <c:v>1.2</c:v>
                </c:pt>
                <c:pt idx="13">
                  <c:v>1.3</c:v>
                </c:pt>
                <c:pt idx="14">
                  <c:v>1.2</c:v>
                </c:pt>
                <c:pt idx="15">
                  <c:v>1.5</c:v>
                </c:pt>
                <c:pt idx="16">
                  <c:v>3</c:v>
                </c:pt>
                <c:pt idx="17">
                  <c:v>1.25</c:v>
                </c:pt>
                <c:pt idx="18">
                  <c:v>1.25</c:v>
                </c:pt>
                <c:pt idx="19">
                  <c:v>0.95</c:v>
                </c:pt>
                <c:pt idx="20">
                  <c:v>1.25</c:v>
                </c:pt>
                <c:pt idx="21">
                  <c:v>1</c:v>
                </c:pt>
                <c:pt idx="22">
                  <c:v>1</c:v>
                </c:pt>
                <c:pt idx="23">
                  <c:v>1.5</c:v>
                </c:pt>
                <c:pt idx="24">
                  <c:v>0.95</c:v>
                </c:pt>
                <c:pt idx="25">
                  <c:v>2.5</c:v>
                </c:pt>
                <c:pt idx="26">
                  <c:v>2</c:v>
                </c:pt>
                <c:pt idx="27">
                  <c:v>1.3</c:v>
                </c:pt>
                <c:pt idx="28">
                  <c:v>1.3</c:v>
                </c:pt>
                <c:pt idx="29">
                  <c:v>1.5</c:v>
                </c:pt>
                <c:pt idx="30">
                  <c:v>1.3</c:v>
                </c:pt>
                <c:pt idx="31">
                  <c:v>0.95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4-4A77-814A-C1795743C16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'Low Fat Mass Results'!$B$157:$B$190</c:f>
              <c:strCache>
                <c:ptCount val="34"/>
                <c:pt idx="0">
                  <c:v>Cyamodus hildegardis-245Ma</c:v>
                </c:pt>
                <c:pt idx="1">
                  <c:v>Paraplacodus broilli-245Ma</c:v>
                </c:pt>
                <c:pt idx="2">
                  <c:v>Helveticosaurus zollingeri-240Ma</c:v>
                </c:pt>
                <c:pt idx="3">
                  <c:v>Cyamodus rostratus-240Ma</c:v>
                </c:pt>
                <c:pt idx="4">
                  <c:v>Cyamodus kuhnschnyderi-240Ma</c:v>
                </c:pt>
                <c:pt idx="5">
                  <c:v>Cyamodus muensteri-240Ma</c:v>
                </c:pt>
                <c:pt idx="6">
                  <c:v>Henodus chelyops-240Ma</c:v>
                </c:pt>
                <c:pt idx="7">
                  <c:v>Helveticosaurus zollingeri-245Ma</c:v>
                </c:pt>
                <c:pt idx="8">
                  <c:v>Placochelys placodonta-240Ma</c:v>
                </c:pt>
                <c:pt idx="9">
                  <c:v>Eusaurosphargis dalsassoi-245Ma</c:v>
                </c:pt>
                <c:pt idx="10">
                  <c:v>Placodus gigas-240Ma</c:v>
                </c:pt>
                <c:pt idx="11">
                  <c:v>Psephosauriscus rhombifer-240Ma</c:v>
                </c:pt>
                <c:pt idx="12">
                  <c:v>Psephosauriscus mosis-245Ma</c:v>
                </c:pt>
                <c:pt idx="13">
                  <c:v>Psephosauriscus ramonensis-245Ma</c:v>
                </c:pt>
                <c:pt idx="14">
                  <c:v>Psephosauriscus sinaiticus-245Ma</c:v>
                </c:pt>
                <c:pt idx="15">
                  <c:v>Pararcus diepenbroek-240Ma</c:v>
                </c:pt>
                <c:pt idx="16">
                  <c:v>Atopodentatus unicus-245Ma</c:v>
                </c:pt>
                <c:pt idx="17">
                  <c:v>Psephoderma alpinum-215Ma</c:v>
                </c:pt>
                <c:pt idx="18">
                  <c:v>Psephoderma alpinum-20Ma5Ma</c:v>
                </c:pt>
                <c:pt idx="19">
                  <c:v>Glyphoderma kangi-240Ma</c:v>
                </c:pt>
                <c:pt idx="20">
                  <c:v>Psephoderma alpinum-210Ma</c:v>
                </c:pt>
                <c:pt idx="21">
                  <c:v>Henodus chelyops-235Ma</c:v>
                </c:pt>
                <c:pt idx="22">
                  <c:v>Macroplacus raeticus-20Ma5Ma</c:v>
                </c:pt>
                <c:pt idx="23">
                  <c:v>Pararcus diepenbroek-245Ma</c:v>
                </c:pt>
                <c:pt idx="24">
                  <c:v>Placochelys placodonta-235Ma</c:v>
                </c:pt>
                <c:pt idx="25">
                  <c:v>Placodus inexpectatus-245Ma</c:v>
                </c:pt>
                <c:pt idx="26">
                  <c:v>Placodus gigas-245Ma</c:v>
                </c:pt>
                <c:pt idx="27">
                  <c:v>Cyamodus muensteri-245Ma</c:v>
                </c:pt>
                <c:pt idx="28">
                  <c:v>Cyamodus rostratus-245Ma</c:v>
                </c:pt>
                <c:pt idx="29">
                  <c:v>Palatodonta bleekeri--245Ma</c:v>
                </c:pt>
                <c:pt idx="30">
                  <c:v>Cyamodus orientalis-235Ma</c:v>
                </c:pt>
                <c:pt idx="31">
                  <c:v>Glyphoderma kangi-235Ma</c:v>
                </c:pt>
                <c:pt idx="32">
                  <c:v>Sinocyamodus xinpuensis-235Ma</c:v>
                </c:pt>
                <c:pt idx="33">
                  <c:v>Psephochelys polyosteoderma-235Ma</c:v>
                </c:pt>
              </c:strCache>
            </c:strRef>
          </c:cat>
          <c:val>
            <c:numRef>
              <c:f>'Low Fat Mass Results'!$H$157:$H$190</c:f>
              <c:numCache>
                <c:formatCode>0.0_);[Red]\(0.0\)</c:formatCode>
                <c:ptCount val="34"/>
                <c:pt idx="0">
                  <c:v>9.8261971963759507</c:v>
                </c:pt>
                <c:pt idx="1">
                  <c:v>10.819336022980087</c:v>
                </c:pt>
                <c:pt idx="2">
                  <c:v>6.070564268946379</c:v>
                </c:pt>
                <c:pt idx="3">
                  <c:v>9.9511918810773565</c:v>
                </c:pt>
                <c:pt idx="4">
                  <c:v>8.7829305815003167</c:v>
                </c:pt>
                <c:pt idx="5">
                  <c:v>9.6859562539669106</c:v>
                </c:pt>
                <c:pt idx="6">
                  <c:v>8.4935381524099434</c:v>
                </c:pt>
                <c:pt idx="7">
                  <c:v>6.2027363504871094</c:v>
                </c:pt>
                <c:pt idx="8">
                  <c:v>11.61289375384367</c:v>
                </c:pt>
                <c:pt idx="9">
                  <c:v>11.224570730751523</c:v>
                </c:pt>
                <c:pt idx="10">
                  <c:v>8.6464085584823849</c:v>
                </c:pt>
                <c:pt idx="11">
                  <c:v>7.3773186544070102</c:v>
                </c:pt>
                <c:pt idx="12">
                  <c:v>10.794302844852217</c:v>
                </c:pt>
                <c:pt idx="13">
                  <c:v>11.037330652120197</c:v>
                </c:pt>
                <c:pt idx="14">
                  <c:v>10.393951691522355</c:v>
                </c:pt>
                <c:pt idx="15">
                  <c:v>9.5087255772312123</c:v>
                </c:pt>
                <c:pt idx="16">
                  <c:v>7.8483526543592559</c:v>
                </c:pt>
                <c:pt idx="17">
                  <c:v>8.5798081972029738</c:v>
                </c:pt>
                <c:pt idx="18">
                  <c:v>8.7450101985781163</c:v>
                </c:pt>
                <c:pt idx="19">
                  <c:v>13.133116714854722</c:v>
                </c:pt>
                <c:pt idx="20">
                  <c:v>8.5461238060165368</c:v>
                </c:pt>
                <c:pt idx="21">
                  <c:v>7.2913176634294778</c:v>
                </c:pt>
                <c:pt idx="22">
                  <c:v>10.769786112352264</c:v>
                </c:pt>
                <c:pt idx="23">
                  <c:v>8.928746970780109</c:v>
                </c:pt>
                <c:pt idx="24">
                  <c:v>10.04440714519045</c:v>
                </c:pt>
                <c:pt idx="25">
                  <c:v>7.1684795648607151</c:v>
                </c:pt>
                <c:pt idx="26">
                  <c:v>7.7561940539859044</c:v>
                </c:pt>
                <c:pt idx="27">
                  <c:v>8.4567359801765765</c:v>
                </c:pt>
                <c:pt idx="28">
                  <c:v>8.1122641199206136</c:v>
                </c:pt>
                <c:pt idx="29">
                  <c:v>9.0901388242902712</c:v>
                </c:pt>
                <c:pt idx="30">
                  <c:v>7.8224878354686229</c:v>
                </c:pt>
                <c:pt idx="31">
                  <c:v>9.9045872573206015</c:v>
                </c:pt>
                <c:pt idx="32">
                  <c:v>8.6019457617340489</c:v>
                </c:pt>
                <c:pt idx="33">
                  <c:v>8.5444553459801806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84-4A77-814A-C1795743C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0474864"/>
        <c:axId val="2050473904"/>
      </c:lineChart>
      <c:catAx>
        <c:axId val="111634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6334319"/>
        <c:crosses val="autoZero"/>
        <c:auto val="1"/>
        <c:lblAlgn val="ctr"/>
        <c:lblOffset val="100"/>
        <c:noMultiLvlLbl val="0"/>
      </c:catAx>
      <c:valAx>
        <c:axId val="111633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6342959"/>
        <c:crosses val="autoZero"/>
        <c:crossBetween val="between"/>
      </c:valAx>
      <c:valAx>
        <c:axId val="20504739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0474864"/>
        <c:crosses val="max"/>
        <c:crossBetween val="between"/>
      </c:valAx>
      <c:catAx>
        <c:axId val="2050474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50473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'Statistics of Mean Values'!$H$4:$M$4</c:f>
                <c:numCache>
                  <c:formatCode>General</c:formatCode>
                  <c:ptCount val="6"/>
                  <c:pt idx="0">
                    <c:v>1389.7</c:v>
                  </c:pt>
                  <c:pt idx="1">
                    <c:v>1406.45</c:v>
                  </c:pt>
                  <c:pt idx="2">
                    <c:v>1443.49</c:v>
                  </c:pt>
                  <c:pt idx="3">
                    <c:v>913.14</c:v>
                  </c:pt>
                  <c:pt idx="4">
                    <c:v>913.8</c:v>
                  </c:pt>
                  <c:pt idx="5">
                    <c:v>918.73</c:v>
                  </c:pt>
                </c:numCache>
              </c:numRef>
            </c:plus>
            <c:minus>
              <c:numRef>
                <c:f>'Statistics of Mean Values'!$H$4:$M$4</c:f>
                <c:numCache>
                  <c:formatCode>General</c:formatCode>
                  <c:ptCount val="6"/>
                  <c:pt idx="0">
                    <c:v>1389.7</c:v>
                  </c:pt>
                  <c:pt idx="1">
                    <c:v>1406.45</c:v>
                  </c:pt>
                  <c:pt idx="2">
                    <c:v>1443.49</c:v>
                  </c:pt>
                  <c:pt idx="3">
                    <c:v>913.14</c:v>
                  </c:pt>
                  <c:pt idx="4">
                    <c:v>913.8</c:v>
                  </c:pt>
                  <c:pt idx="5">
                    <c:v>918.73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'Statistics of Mean Values'!$H$3:$M$3</c:f>
              <c:numCache>
                <c:formatCode>General</c:formatCode>
                <c:ptCount val="6"/>
                <c:pt idx="0">
                  <c:v>2438.14</c:v>
                </c:pt>
                <c:pt idx="1">
                  <c:v>2656.74</c:v>
                </c:pt>
                <c:pt idx="2">
                  <c:v>2882.25</c:v>
                </c:pt>
                <c:pt idx="3">
                  <c:v>1260.6099999999999</c:v>
                </c:pt>
                <c:pt idx="4">
                  <c:v>1287.04</c:v>
                </c:pt>
                <c:pt idx="5">
                  <c:v>1315.11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1-47B5-8F79-465DB529FF1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'Statistics of Mean Values'!$H$6:$M$6</c:f>
                <c:numCache>
                  <c:formatCode>General</c:formatCode>
                  <c:ptCount val="6"/>
                  <c:pt idx="0">
                    <c:v>1134.9100000000001</c:v>
                  </c:pt>
                  <c:pt idx="1">
                    <c:v>1133.23</c:v>
                  </c:pt>
                  <c:pt idx="2">
                    <c:v>1169.32</c:v>
                  </c:pt>
                  <c:pt idx="3">
                    <c:v>805.21</c:v>
                  </c:pt>
                  <c:pt idx="4">
                    <c:v>816.15</c:v>
                  </c:pt>
                  <c:pt idx="5">
                    <c:v>881.11</c:v>
                  </c:pt>
                </c:numCache>
              </c:numRef>
            </c:plus>
            <c:minus>
              <c:numRef>
                <c:f>'Statistics of Mean Values'!$H$6:$M$6</c:f>
                <c:numCache>
                  <c:formatCode>General</c:formatCode>
                  <c:ptCount val="6"/>
                  <c:pt idx="0">
                    <c:v>1134.9100000000001</c:v>
                  </c:pt>
                  <c:pt idx="1">
                    <c:v>1133.23</c:v>
                  </c:pt>
                  <c:pt idx="2">
                    <c:v>1169.32</c:v>
                  </c:pt>
                  <c:pt idx="3">
                    <c:v>805.21</c:v>
                  </c:pt>
                  <c:pt idx="4">
                    <c:v>816.15</c:v>
                  </c:pt>
                  <c:pt idx="5">
                    <c:v>881.11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'Statistics of Mean Values'!$H$5:$M$5</c:f>
              <c:numCache>
                <c:formatCode>General</c:formatCode>
                <c:ptCount val="6"/>
                <c:pt idx="0">
                  <c:v>1954.06</c:v>
                </c:pt>
                <c:pt idx="1">
                  <c:v>2119.17</c:v>
                </c:pt>
                <c:pt idx="2">
                  <c:v>2247.09</c:v>
                </c:pt>
                <c:pt idx="3">
                  <c:v>1157.5</c:v>
                </c:pt>
                <c:pt idx="4">
                  <c:v>1201.44</c:v>
                </c:pt>
                <c:pt idx="5">
                  <c:v>1267.5899999999999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91-47B5-8F79-465DB529F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3253007"/>
        <c:axId val="2013249647"/>
      </c:barChart>
      <c:catAx>
        <c:axId val="2013253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Species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3249647"/>
        <c:crosses val="autoZero"/>
        <c:auto val="1"/>
        <c:lblAlgn val="ctr"/>
        <c:lblOffset val="100"/>
        <c:noMultiLvlLbl val="0"/>
      </c:catAx>
      <c:valAx>
        <c:axId val="201324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migration distance(km)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3253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'Statistics of Mean Values'!$H$12:$M$12</c:f>
                <c:numCache>
                  <c:formatCode>General</c:formatCode>
                  <c:ptCount val="6"/>
                  <c:pt idx="0">
                    <c:v>4.41</c:v>
                  </c:pt>
                  <c:pt idx="1">
                    <c:v>4.59</c:v>
                  </c:pt>
                  <c:pt idx="2">
                    <c:v>4.49</c:v>
                  </c:pt>
                  <c:pt idx="3">
                    <c:v>3.91</c:v>
                  </c:pt>
                  <c:pt idx="4">
                    <c:v>3.98</c:v>
                  </c:pt>
                  <c:pt idx="5">
                    <c:v>4.16</c:v>
                  </c:pt>
                </c:numCache>
              </c:numRef>
            </c:plus>
            <c:minus>
              <c:numRef>
                <c:f>'Statistics of Mean Values'!$H$12:$M$12</c:f>
                <c:numCache>
                  <c:formatCode>General</c:formatCode>
                  <c:ptCount val="6"/>
                  <c:pt idx="0">
                    <c:v>4.41</c:v>
                  </c:pt>
                  <c:pt idx="1">
                    <c:v>4.59</c:v>
                  </c:pt>
                  <c:pt idx="2">
                    <c:v>4.49</c:v>
                  </c:pt>
                  <c:pt idx="3">
                    <c:v>3.91</c:v>
                  </c:pt>
                  <c:pt idx="4">
                    <c:v>3.98</c:v>
                  </c:pt>
                  <c:pt idx="5">
                    <c:v>4.16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'Statistics of Mean Values'!$H$11:$M$11</c:f>
              <c:numCache>
                <c:formatCode>General</c:formatCode>
                <c:ptCount val="6"/>
                <c:pt idx="0">
                  <c:v>9.6199999999999992</c:v>
                </c:pt>
                <c:pt idx="1">
                  <c:v>10.08</c:v>
                </c:pt>
                <c:pt idx="2">
                  <c:v>10.37</c:v>
                </c:pt>
                <c:pt idx="3">
                  <c:v>8.33</c:v>
                </c:pt>
                <c:pt idx="4">
                  <c:v>8.4600000000000009</c:v>
                </c:pt>
                <c:pt idx="5">
                  <c:v>8.74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1-401E-9DD9-ECD2035F0CC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'Statistics of Mean Values'!$H$14:$M$14</c:f>
                <c:numCache>
                  <c:formatCode>General</c:formatCode>
                  <c:ptCount val="6"/>
                  <c:pt idx="0">
                    <c:v>2.7</c:v>
                  </c:pt>
                  <c:pt idx="1">
                    <c:v>2.97</c:v>
                  </c:pt>
                  <c:pt idx="2">
                    <c:v>2.74</c:v>
                  </c:pt>
                  <c:pt idx="3">
                    <c:v>1.54</c:v>
                  </c:pt>
                  <c:pt idx="4">
                    <c:v>1.65</c:v>
                  </c:pt>
                  <c:pt idx="5">
                    <c:v>1.92</c:v>
                  </c:pt>
                </c:numCache>
              </c:numRef>
            </c:plus>
            <c:minus>
              <c:numRef>
                <c:f>'Statistics of Mean Values'!$H$14:$M$14</c:f>
                <c:numCache>
                  <c:formatCode>General</c:formatCode>
                  <c:ptCount val="6"/>
                  <c:pt idx="0">
                    <c:v>2.7</c:v>
                  </c:pt>
                  <c:pt idx="1">
                    <c:v>2.97</c:v>
                  </c:pt>
                  <c:pt idx="2">
                    <c:v>2.74</c:v>
                  </c:pt>
                  <c:pt idx="3">
                    <c:v>1.54</c:v>
                  </c:pt>
                  <c:pt idx="4">
                    <c:v>1.65</c:v>
                  </c:pt>
                  <c:pt idx="5">
                    <c:v>1.92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'Statistics of Mean Values'!$H$13:$M$13</c:f>
              <c:numCache>
                <c:formatCode>General</c:formatCode>
                <c:ptCount val="6"/>
                <c:pt idx="0">
                  <c:v>8.99</c:v>
                </c:pt>
                <c:pt idx="1">
                  <c:v>9.35</c:v>
                </c:pt>
                <c:pt idx="2">
                  <c:v>9.8000000000000007</c:v>
                </c:pt>
                <c:pt idx="3">
                  <c:v>9.11</c:v>
                </c:pt>
                <c:pt idx="4">
                  <c:v>9.58</c:v>
                </c:pt>
                <c:pt idx="5">
                  <c:v>9.89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F1-401E-9DD9-ECD2035F0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3462815"/>
        <c:axId val="2123460895"/>
      </c:barChart>
      <c:catAx>
        <c:axId val="2123462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Species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3460895"/>
        <c:crosses val="autoZero"/>
        <c:auto val="1"/>
        <c:lblAlgn val="ctr"/>
        <c:lblOffset val="100"/>
        <c:noMultiLvlLbl val="0"/>
      </c:catAx>
      <c:valAx>
        <c:axId val="212346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survival year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346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'Statistics of Mean Values'!$H$16:$M$16</c:f>
                <c:numCache>
                  <c:formatCode>General</c:formatCode>
                  <c:ptCount val="6"/>
                  <c:pt idx="0">
                    <c:v>21.1</c:v>
                  </c:pt>
                  <c:pt idx="1">
                    <c:v>11.8</c:v>
                  </c:pt>
                  <c:pt idx="2">
                    <c:v>21.48</c:v>
                  </c:pt>
                  <c:pt idx="3">
                    <c:v>14.72</c:v>
                  </c:pt>
                  <c:pt idx="4">
                    <c:v>11.8</c:v>
                  </c:pt>
                  <c:pt idx="5">
                    <c:v>10.52</c:v>
                  </c:pt>
                </c:numCache>
              </c:numRef>
            </c:plus>
            <c:minus>
              <c:numRef>
                <c:f>'Statistics of Mean Values'!$H$16:$M$16</c:f>
                <c:numCache>
                  <c:formatCode>General</c:formatCode>
                  <c:ptCount val="6"/>
                  <c:pt idx="0">
                    <c:v>21.1</c:v>
                  </c:pt>
                  <c:pt idx="1">
                    <c:v>11.8</c:v>
                  </c:pt>
                  <c:pt idx="2">
                    <c:v>21.48</c:v>
                  </c:pt>
                  <c:pt idx="3">
                    <c:v>14.72</c:v>
                  </c:pt>
                  <c:pt idx="4">
                    <c:v>11.8</c:v>
                  </c:pt>
                  <c:pt idx="5">
                    <c:v>10.52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'Statistics of Mean Values'!$H$15:$M$15</c:f>
              <c:numCache>
                <c:formatCode>General</c:formatCode>
                <c:ptCount val="6"/>
                <c:pt idx="0">
                  <c:v>57.19</c:v>
                </c:pt>
                <c:pt idx="1">
                  <c:v>85.84</c:v>
                </c:pt>
                <c:pt idx="2">
                  <c:v>63.79</c:v>
                </c:pt>
                <c:pt idx="3">
                  <c:v>82.41</c:v>
                </c:pt>
                <c:pt idx="4">
                  <c:v>85.84</c:v>
                </c:pt>
                <c:pt idx="5">
                  <c:v>88.55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0-466D-95F6-F1BACDEA1F1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'Statistics of Mean Values'!$H$18:$M$18</c:f>
                <c:numCache>
                  <c:formatCode>General</c:formatCode>
                  <c:ptCount val="6"/>
                  <c:pt idx="0">
                    <c:v>28.41</c:v>
                  </c:pt>
                  <c:pt idx="1">
                    <c:v>28.88</c:v>
                  </c:pt>
                  <c:pt idx="2">
                    <c:v>28.47</c:v>
                  </c:pt>
                  <c:pt idx="3">
                    <c:v>20.170000000000002</c:v>
                  </c:pt>
                  <c:pt idx="4">
                    <c:v>19.82</c:v>
                  </c:pt>
                  <c:pt idx="5">
                    <c:v>18.690000000000001</c:v>
                  </c:pt>
                </c:numCache>
              </c:numRef>
            </c:plus>
            <c:minus>
              <c:numRef>
                <c:f>'Statistics of Mean Values'!$H$18:$M$18</c:f>
                <c:numCache>
                  <c:formatCode>General</c:formatCode>
                  <c:ptCount val="6"/>
                  <c:pt idx="0">
                    <c:v>28.41</c:v>
                  </c:pt>
                  <c:pt idx="1">
                    <c:v>28.88</c:v>
                  </c:pt>
                  <c:pt idx="2">
                    <c:v>28.47</c:v>
                  </c:pt>
                  <c:pt idx="3">
                    <c:v>20.170000000000002</c:v>
                  </c:pt>
                  <c:pt idx="4">
                    <c:v>19.82</c:v>
                  </c:pt>
                  <c:pt idx="5">
                    <c:v>18.690000000000001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'Statistics of Mean Values'!$H$17:$M$17</c:f>
              <c:numCache>
                <c:formatCode>General</c:formatCode>
                <c:ptCount val="6"/>
                <c:pt idx="0">
                  <c:v>54.49</c:v>
                </c:pt>
                <c:pt idx="1">
                  <c:v>57.59</c:v>
                </c:pt>
                <c:pt idx="2">
                  <c:v>59.9</c:v>
                </c:pt>
                <c:pt idx="3">
                  <c:v>67.16</c:v>
                </c:pt>
                <c:pt idx="4">
                  <c:v>72.59</c:v>
                </c:pt>
                <c:pt idx="5">
                  <c:v>75.69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F0-466D-95F6-F1BACDEA1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0390192"/>
        <c:axId val="820390672"/>
      </c:barChart>
      <c:catAx>
        <c:axId val="820390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Species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0390672"/>
        <c:crosses val="autoZero"/>
        <c:auto val="1"/>
        <c:lblAlgn val="ctr"/>
        <c:lblOffset val="100"/>
        <c:noMultiLvlLbl val="0"/>
      </c:catAx>
      <c:valAx>
        <c:axId val="82039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survival</a:t>
                </a:r>
                <a:r>
                  <a:rPr lang="en-US" altLang="zh-CN" baseline="0"/>
                  <a:t> rate%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039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13" Type="http://schemas.openxmlformats.org/officeDocument/2006/relationships/chart" Target="../charts/chart36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12" Type="http://schemas.openxmlformats.org/officeDocument/2006/relationships/chart" Target="../charts/chart35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4.xml"/><Relationship Id="rId5" Type="http://schemas.openxmlformats.org/officeDocument/2006/relationships/chart" Target="../charts/chart29.xml"/><Relationship Id="rId10" Type="http://schemas.openxmlformats.org/officeDocument/2006/relationships/chart" Target="../charts/chart33.xml"/><Relationship Id="rId4" Type="http://schemas.openxmlformats.org/officeDocument/2006/relationships/chart" Target="../charts/chart28.xml"/><Relationship Id="rId9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127792</xdr:colOff>
      <xdr:row>0</xdr:row>
      <xdr:rowOff>1348695</xdr:rowOff>
    </xdr:from>
    <xdr:to>
      <xdr:col>58</xdr:col>
      <xdr:colOff>217487</xdr:colOff>
      <xdr:row>57</xdr:row>
      <xdr:rowOff>108857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6BF2C8E-E3FA-9987-7FA4-96C40C81A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400841</xdr:colOff>
      <xdr:row>54</xdr:row>
      <xdr:rowOff>104377</xdr:rowOff>
    </xdr:from>
    <xdr:to>
      <xdr:col>54</xdr:col>
      <xdr:colOff>126206</xdr:colOff>
      <xdr:row>96</xdr:row>
      <xdr:rowOff>373856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3199DA2-FF2F-3A7D-973C-9D9A37FD5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442118</xdr:colOff>
      <xdr:row>97</xdr:row>
      <xdr:rowOff>488551</xdr:rowOff>
    </xdr:from>
    <xdr:to>
      <xdr:col>79</xdr:col>
      <xdr:colOff>192088</xdr:colOff>
      <xdr:row>156</xdr:row>
      <xdr:rowOff>164306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6823C458-5107-E86C-83D3-E3EF6F00D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561973</xdr:colOff>
      <xdr:row>156</xdr:row>
      <xdr:rowOff>485774</xdr:rowOff>
    </xdr:from>
    <xdr:to>
      <xdr:col>59</xdr:col>
      <xdr:colOff>95248</xdr:colOff>
      <xdr:row>205</xdr:row>
      <xdr:rowOff>171450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7415AF85-3939-42A4-C701-54E3ED413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2483868</xdr:colOff>
      <xdr:row>2</xdr:row>
      <xdr:rowOff>367734</xdr:rowOff>
    </xdr:from>
    <xdr:to>
      <xdr:col>36</xdr:col>
      <xdr:colOff>444500</xdr:colOff>
      <xdr:row>60</xdr:row>
      <xdr:rowOff>230188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FD9C74EC-CB30-4FE3-AA1B-8DE405E2D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222025</xdr:colOff>
      <xdr:row>60</xdr:row>
      <xdr:rowOff>420917</xdr:rowOff>
    </xdr:from>
    <xdr:to>
      <xdr:col>37</xdr:col>
      <xdr:colOff>214311</xdr:colOff>
      <xdr:row>103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897E05E4-19DB-4877-8297-807D2ECFB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825498</xdr:colOff>
      <xdr:row>99</xdr:row>
      <xdr:rowOff>83341</xdr:rowOff>
    </xdr:from>
    <xdr:to>
      <xdr:col>38</xdr:col>
      <xdr:colOff>158750</xdr:colOff>
      <xdr:row>157</xdr:row>
      <xdr:rowOff>79368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00276E6D-2A9A-4D69-9DAE-E44B77828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60</xdr:col>
      <xdr:colOff>587374</xdr:colOff>
      <xdr:row>0</xdr:row>
      <xdr:rowOff>1460504</xdr:rowOff>
    </xdr:from>
    <xdr:to>
      <xdr:col>82</xdr:col>
      <xdr:colOff>23815</xdr:colOff>
      <xdr:row>55</xdr:row>
      <xdr:rowOff>150815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D655362-D5E1-03E4-EAD4-B695477EE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58</xdr:col>
      <xdr:colOff>107154</xdr:colOff>
      <xdr:row>57</xdr:row>
      <xdr:rowOff>86912</xdr:rowOff>
    </xdr:from>
    <xdr:to>
      <xdr:col>74</xdr:col>
      <xdr:colOff>559592</xdr:colOff>
      <xdr:row>97</xdr:row>
      <xdr:rowOff>130967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1570D28-42D9-67A5-D006-3CF888DF0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39</xdr:col>
      <xdr:colOff>154778</xdr:colOff>
      <xdr:row>98</xdr:row>
      <xdr:rowOff>158351</xdr:rowOff>
    </xdr:from>
    <xdr:to>
      <xdr:col>54</xdr:col>
      <xdr:colOff>404810</xdr:colOff>
      <xdr:row>156</xdr:row>
      <xdr:rowOff>119062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1BC02411-8FBD-B36C-988A-E493B3A75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61</xdr:col>
      <xdr:colOff>190497</xdr:colOff>
      <xdr:row>152</xdr:row>
      <xdr:rowOff>86914</xdr:rowOff>
    </xdr:from>
    <xdr:to>
      <xdr:col>77</xdr:col>
      <xdr:colOff>392904</xdr:colOff>
      <xdr:row>200</xdr:row>
      <xdr:rowOff>71436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C8139022-01B6-E4C6-78B0-26435F9E5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793</xdr:colOff>
      <xdr:row>154</xdr:row>
      <xdr:rowOff>142476</xdr:rowOff>
    </xdr:from>
    <xdr:to>
      <xdr:col>36</xdr:col>
      <xdr:colOff>492125</xdr:colOff>
      <xdr:row>213</xdr:row>
      <xdr:rowOff>111123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3CB8C30D-0802-ED68-E237-0D3ED38B5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55560</xdr:colOff>
      <xdr:row>0</xdr:row>
      <xdr:rowOff>223837</xdr:rowOff>
    </xdr:from>
    <xdr:to>
      <xdr:col>55</xdr:col>
      <xdr:colOff>23811</xdr:colOff>
      <xdr:row>51</xdr:row>
      <xdr:rowOff>119062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FCCFF05-D94B-7E63-1697-BE599C7DE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95246</xdr:colOff>
      <xdr:row>53</xdr:row>
      <xdr:rowOff>122632</xdr:rowOff>
    </xdr:from>
    <xdr:to>
      <xdr:col>55</xdr:col>
      <xdr:colOff>47622</xdr:colOff>
      <xdr:row>95</xdr:row>
      <xdr:rowOff>916781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6FA5F1B9-1913-F404-642E-BE5087948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23808</xdr:colOff>
      <xdr:row>98</xdr:row>
      <xdr:rowOff>98820</xdr:rowOff>
    </xdr:from>
    <xdr:to>
      <xdr:col>54</xdr:col>
      <xdr:colOff>571497</xdr:colOff>
      <xdr:row>157</xdr:row>
      <xdr:rowOff>47624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D072F8D8-B018-A6D8-9B7C-BB735DD29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309558</xdr:colOff>
      <xdr:row>162</xdr:row>
      <xdr:rowOff>15474</xdr:rowOff>
    </xdr:from>
    <xdr:to>
      <xdr:col>55</xdr:col>
      <xdr:colOff>333372</xdr:colOff>
      <xdr:row>208</xdr:row>
      <xdr:rowOff>59528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9DB06893-3277-D707-CF60-F4BE17E1C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65</xdr:col>
      <xdr:colOff>468310</xdr:colOff>
      <xdr:row>1</xdr:row>
      <xdr:rowOff>491727</xdr:rowOff>
    </xdr:from>
    <xdr:to>
      <xdr:col>84</xdr:col>
      <xdr:colOff>15875</xdr:colOff>
      <xdr:row>60</xdr:row>
      <xdr:rowOff>317498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5605323D-2BBD-2EAF-595D-A5EDFFAD6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142875</xdr:colOff>
      <xdr:row>59</xdr:row>
      <xdr:rowOff>131758</xdr:rowOff>
    </xdr:from>
    <xdr:to>
      <xdr:col>87</xdr:col>
      <xdr:colOff>161925</xdr:colOff>
      <xdr:row>97</xdr:row>
      <xdr:rowOff>507998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DC01F240-5553-CC64-32D7-168E5DB16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65</xdr:col>
      <xdr:colOff>579435</xdr:colOff>
      <xdr:row>97</xdr:row>
      <xdr:rowOff>207957</xdr:rowOff>
    </xdr:from>
    <xdr:to>
      <xdr:col>85</xdr:col>
      <xdr:colOff>269873</xdr:colOff>
      <xdr:row>155</xdr:row>
      <xdr:rowOff>507999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B3C266C4-D130-1486-B84A-721F31FE6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59</xdr:col>
      <xdr:colOff>533400</xdr:colOff>
      <xdr:row>155</xdr:row>
      <xdr:rowOff>334960</xdr:rowOff>
    </xdr:from>
    <xdr:to>
      <xdr:col>85</xdr:col>
      <xdr:colOff>333373</xdr:colOff>
      <xdr:row>202</xdr:row>
      <xdr:rowOff>111123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4AC4191D-BBF3-1C97-C8C3-11A08C9AF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333371</xdr:colOff>
      <xdr:row>0</xdr:row>
      <xdr:rowOff>203596</xdr:rowOff>
    </xdr:from>
    <xdr:to>
      <xdr:col>37</xdr:col>
      <xdr:colOff>309560</xdr:colOff>
      <xdr:row>51</xdr:row>
      <xdr:rowOff>154781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40B95AA-0D37-63C5-A1BE-51308A7B2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378619</xdr:colOff>
      <xdr:row>50</xdr:row>
      <xdr:rowOff>141681</xdr:rowOff>
    </xdr:from>
    <xdr:to>
      <xdr:col>37</xdr:col>
      <xdr:colOff>357187</xdr:colOff>
      <xdr:row>101</xdr:row>
      <xdr:rowOff>130968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D4D4695-953B-265F-36B9-6200AD427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373853</xdr:colOff>
      <xdr:row>97</xdr:row>
      <xdr:rowOff>234549</xdr:rowOff>
    </xdr:from>
    <xdr:to>
      <xdr:col>37</xdr:col>
      <xdr:colOff>345278</xdr:colOff>
      <xdr:row>157</xdr:row>
      <xdr:rowOff>119060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651DD37-C94C-2669-6832-8F106D71B3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392906</xdr:colOff>
      <xdr:row>156</xdr:row>
      <xdr:rowOff>117868</xdr:rowOff>
    </xdr:from>
    <xdr:to>
      <xdr:col>37</xdr:col>
      <xdr:colOff>345281</xdr:colOff>
      <xdr:row>220</xdr:row>
      <xdr:rowOff>154778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7E04904-7F88-2EF0-EAA2-422BE9280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533400</xdr:colOff>
      <xdr:row>0</xdr:row>
      <xdr:rowOff>1484312</xdr:rowOff>
    </xdr:from>
    <xdr:to>
      <xdr:col>57</xdr:col>
      <xdr:colOff>107947</xdr:colOff>
      <xdr:row>54</xdr:row>
      <xdr:rowOff>147639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890D2D5F-5337-AE7B-1A5C-A5A02028A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606424</xdr:colOff>
      <xdr:row>56</xdr:row>
      <xdr:rowOff>138109</xdr:rowOff>
    </xdr:from>
    <xdr:to>
      <xdr:col>54</xdr:col>
      <xdr:colOff>171449</xdr:colOff>
      <xdr:row>96</xdr:row>
      <xdr:rowOff>198436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A99D59E8-A272-2E91-9AA3-A511EBC11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319086</xdr:colOff>
      <xdr:row>96</xdr:row>
      <xdr:rowOff>176206</xdr:rowOff>
    </xdr:from>
    <xdr:to>
      <xdr:col>58</xdr:col>
      <xdr:colOff>14286</xdr:colOff>
      <xdr:row>155</xdr:row>
      <xdr:rowOff>195262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4CC47779-76F4-4DFA-8F2B-77F96402E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498473</xdr:colOff>
      <xdr:row>154</xdr:row>
      <xdr:rowOff>74611</xdr:rowOff>
    </xdr:from>
    <xdr:to>
      <xdr:col>59</xdr:col>
      <xdr:colOff>146049</xdr:colOff>
      <xdr:row>209</xdr:row>
      <xdr:rowOff>55562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16BF5CF2-C74D-83E5-C9DE-66E862228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63</xdr:col>
      <xdr:colOff>373060</xdr:colOff>
      <xdr:row>0</xdr:row>
      <xdr:rowOff>1462087</xdr:rowOff>
    </xdr:from>
    <xdr:to>
      <xdr:col>80</xdr:col>
      <xdr:colOff>142875</xdr:colOff>
      <xdr:row>54</xdr:row>
      <xdr:rowOff>158748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71C7F01C-CA4D-080F-E73A-A52EAD14C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52</xdr:col>
      <xdr:colOff>476250</xdr:colOff>
      <xdr:row>54</xdr:row>
      <xdr:rowOff>160335</xdr:rowOff>
    </xdr:from>
    <xdr:to>
      <xdr:col>82</xdr:col>
      <xdr:colOff>158750</xdr:colOff>
      <xdr:row>96</xdr:row>
      <xdr:rowOff>238123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350ADC60-2BCA-23C6-67A9-67C6D6DD0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61</xdr:col>
      <xdr:colOff>285745</xdr:colOff>
      <xdr:row>96</xdr:row>
      <xdr:rowOff>128584</xdr:rowOff>
    </xdr:from>
    <xdr:to>
      <xdr:col>84</xdr:col>
      <xdr:colOff>142874</xdr:colOff>
      <xdr:row>144</xdr:row>
      <xdr:rowOff>104774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5DE5CB28-9AFF-3F2D-8021-99DB5FDACB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64</xdr:col>
      <xdr:colOff>150811</xdr:colOff>
      <xdr:row>154</xdr:row>
      <xdr:rowOff>80959</xdr:rowOff>
    </xdr:from>
    <xdr:to>
      <xdr:col>85</xdr:col>
      <xdr:colOff>253997</xdr:colOff>
      <xdr:row>185</xdr:row>
      <xdr:rowOff>66674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ED7DEE83-0DAC-5189-130E-BBB23BA71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9525</xdr:colOff>
      <xdr:row>1</xdr:row>
      <xdr:rowOff>304799</xdr:rowOff>
    </xdr:from>
    <xdr:to>
      <xdr:col>36</xdr:col>
      <xdr:colOff>535398</xdr:colOff>
      <xdr:row>60</xdr:row>
      <xdr:rowOff>106846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416E0435-8353-70DF-2506-740064E13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127325" y="1857375"/>
          <a:ext cx="18661473" cy="10717697"/>
        </a:xfrm>
        <a:prstGeom prst="rect">
          <a:avLst/>
        </a:prstGeom>
      </xdr:spPr>
    </xdr:pic>
    <xdr:clientData/>
  </xdr:twoCellAnchor>
  <xdr:twoCellAnchor>
    <xdr:from>
      <xdr:col>10</xdr:col>
      <xdr:colOff>42860</xdr:colOff>
      <xdr:row>0</xdr:row>
      <xdr:rowOff>1423195</xdr:rowOff>
    </xdr:from>
    <xdr:to>
      <xdr:col>36</xdr:col>
      <xdr:colOff>495300</xdr:colOff>
      <xdr:row>57</xdr:row>
      <xdr:rowOff>161924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7988F27-088B-8E5E-B42B-607CA176B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285744</xdr:colOff>
      <xdr:row>48</xdr:row>
      <xdr:rowOff>66271</xdr:rowOff>
    </xdr:from>
    <xdr:to>
      <xdr:col>37</xdr:col>
      <xdr:colOff>100010</xdr:colOff>
      <xdr:row>98</xdr:row>
      <xdr:rowOff>76198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280C585-25B5-2CB3-DF0B-5B7792FEF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406398</xdr:colOff>
      <xdr:row>95</xdr:row>
      <xdr:rowOff>98028</xdr:rowOff>
    </xdr:from>
    <xdr:to>
      <xdr:col>37</xdr:col>
      <xdr:colOff>400049</xdr:colOff>
      <xdr:row>147</xdr:row>
      <xdr:rowOff>85724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1B7FCC9-B21D-8202-BDF1-B951C6A1C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827086</xdr:colOff>
      <xdr:row>145</xdr:row>
      <xdr:rowOff>149616</xdr:rowOff>
    </xdr:from>
    <xdr:to>
      <xdr:col>38</xdr:col>
      <xdr:colOff>19049</xdr:colOff>
      <xdr:row>205</xdr:row>
      <xdr:rowOff>142874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54AF473-FCA5-3CE6-BB43-1253EB494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314322</xdr:colOff>
      <xdr:row>0</xdr:row>
      <xdr:rowOff>0</xdr:rowOff>
    </xdr:from>
    <xdr:to>
      <xdr:col>10</xdr:col>
      <xdr:colOff>195260</xdr:colOff>
      <xdr:row>19</xdr:row>
      <xdr:rowOff>23815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B51FE1B-FDA4-F15F-C46B-AB5334607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7144</xdr:colOff>
      <xdr:row>18</xdr:row>
      <xdr:rowOff>71438</xdr:rowOff>
    </xdr:from>
    <xdr:to>
      <xdr:col>9</xdr:col>
      <xdr:colOff>523875</xdr:colOff>
      <xdr:row>34</xdr:row>
      <xdr:rowOff>147637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6A91920-8404-5CF8-F1A3-F1757AC5B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140494</xdr:colOff>
      <xdr:row>0</xdr:row>
      <xdr:rowOff>152400</xdr:rowOff>
    </xdr:from>
    <xdr:to>
      <xdr:col>15</xdr:col>
      <xdr:colOff>481013</xdr:colOff>
      <xdr:row>20</xdr:row>
      <xdr:rowOff>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70D79382-18B0-708F-E43A-69ECF52F1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32"/>
  <sheetViews>
    <sheetView topLeftCell="E156" zoomScale="60" zoomScaleNormal="60" workbookViewId="0">
      <selection sqref="A1:J1"/>
    </sheetView>
  </sheetViews>
  <sheetFormatPr defaultRowHeight="13.5" x14ac:dyDescent="0.3"/>
  <cols>
    <col min="1" max="1" width="68.1328125" customWidth="1"/>
    <col min="2" max="2" width="40.59765625" customWidth="1"/>
    <col min="3" max="7" width="35.59765625" style="1" customWidth="1"/>
    <col min="8" max="8" width="35.59765625" style="9" customWidth="1"/>
    <col min="9" max="9" width="35.59765625" style="13" customWidth="1"/>
    <col min="10" max="10" width="35.59765625" customWidth="1"/>
    <col min="11" max="14" width="13.59765625" customWidth="1"/>
  </cols>
  <sheetData>
    <row r="1" spans="1:40" ht="122.25" customHeight="1" x14ac:dyDescent="0.3">
      <c r="A1" s="25" t="s">
        <v>47</v>
      </c>
      <c r="B1" s="26"/>
      <c r="C1" s="26"/>
      <c r="D1" s="26"/>
      <c r="E1" s="26"/>
      <c r="F1" s="26"/>
      <c r="G1" s="26"/>
      <c r="H1" s="26"/>
      <c r="I1" s="26"/>
      <c r="J1" s="26"/>
    </row>
    <row r="2" spans="1:40" s="3" customFormat="1" ht="45" customHeight="1" x14ac:dyDescent="0.3">
      <c r="A2" s="23" t="s">
        <v>6</v>
      </c>
      <c r="B2" s="24"/>
      <c r="C2" s="24"/>
      <c r="D2" s="24"/>
      <c r="E2" s="24"/>
      <c r="F2" s="24"/>
      <c r="G2" s="24"/>
      <c r="H2" s="24"/>
      <c r="I2" s="24"/>
      <c r="J2" s="24"/>
    </row>
    <row r="3" spans="1:40" s="3" customFormat="1" ht="45" customHeight="1" x14ac:dyDescent="0.3">
      <c r="A3" s="6" t="s">
        <v>4</v>
      </c>
      <c r="B3" s="2" t="s">
        <v>1</v>
      </c>
      <c r="C3" s="2" t="s">
        <v>91</v>
      </c>
      <c r="D3" s="2" t="s">
        <v>2</v>
      </c>
      <c r="E3" s="2" t="s">
        <v>3</v>
      </c>
      <c r="F3" s="2" t="s">
        <v>5</v>
      </c>
      <c r="G3" s="2" t="s">
        <v>92</v>
      </c>
      <c r="H3" s="8" t="s">
        <v>90</v>
      </c>
      <c r="I3" s="8" t="s">
        <v>57</v>
      </c>
      <c r="J3" s="8" t="s">
        <v>58</v>
      </c>
      <c r="K3" s="15"/>
      <c r="L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</row>
    <row r="4" spans="1:40" ht="27.75" customHeight="1" x14ac:dyDescent="0.3">
      <c r="A4" s="10" t="s">
        <v>39</v>
      </c>
      <c r="B4" s="10" t="s">
        <v>94</v>
      </c>
      <c r="C4" s="1">
        <v>3</v>
      </c>
      <c r="D4" s="1">
        <v>71648960591.944794</v>
      </c>
      <c r="E4" s="1">
        <v>1294421240.1683402</v>
      </c>
      <c r="F4" s="1">
        <v>358244802.95969999</v>
      </c>
      <c r="G4" s="1">
        <v>6472.1062008417002</v>
      </c>
      <c r="H4" s="9">
        <v>11.359868181117578</v>
      </c>
      <c r="I4" s="13">
        <v>569.73426959299252</v>
      </c>
      <c r="J4" s="13">
        <v>98.5</v>
      </c>
      <c r="K4" t="str">
        <f>ROUND(AVERAGE(G4:G60),2)&amp;"±"&amp;ROUND(_xlfn.STDEV.P(G4:G60),2)</f>
        <v>2656.74±1406.45</v>
      </c>
      <c r="L4" t="str">
        <f>ROUND(AVERAGE(H4:H60),2)&amp;"±"&amp;ROUND(_xlfn.STDEV.P(H4:H60),2)</f>
        <v>10.08±4.59</v>
      </c>
      <c r="M4" t="str">
        <f>ROUND(AVERAGE(I4:I60),2)&amp;"±"&amp;ROUND(_xlfn.STDEV.P(I4:I60),2)</f>
        <v>331.54±248.29</v>
      </c>
      <c r="N4" t="str">
        <f>ROUND(AVERAGE(J4:J60),2)&amp;"±"&amp;ROUND(_xlfn.STDEV.P(J4:J60),2)</f>
        <v>85.84±11.8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 spans="1:40" ht="13.5" customHeight="1" x14ac:dyDescent="0.3">
      <c r="A5" s="10" t="s">
        <v>21</v>
      </c>
      <c r="B5" s="10" t="s">
        <v>95</v>
      </c>
      <c r="C5" s="1">
        <v>21</v>
      </c>
      <c r="D5" s="1">
        <v>22914090609.439301</v>
      </c>
      <c r="E5" s="1">
        <v>1021805883.1421429</v>
      </c>
      <c r="F5" s="1">
        <v>114570453.04719999</v>
      </c>
      <c r="G5" s="1">
        <v>5109.0294157107101</v>
      </c>
      <c r="H5" s="9">
        <v>3.6330052336122685</v>
      </c>
      <c r="I5" s="13">
        <v>1406.2818760739431</v>
      </c>
      <c r="J5" s="13">
        <v>99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</row>
    <row r="6" spans="1:40" ht="13.5" customHeight="1" x14ac:dyDescent="0.3">
      <c r="A6" s="10" t="s">
        <v>26</v>
      </c>
      <c r="B6" s="10" t="s">
        <v>129</v>
      </c>
      <c r="C6" s="1">
        <v>1</v>
      </c>
      <c r="D6" s="1">
        <v>123292608249.87331</v>
      </c>
      <c r="E6" s="1">
        <v>945747762.2947861</v>
      </c>
      <c r="F6" s="1">
        <v>616463041.24940002</v>
      </c>
      <c r="G6" s="1">
        <v>4728.7388114739306</v>
      </c>
      <c r="H6" s="9">
        <v>19.547914803696301</v>
      </c>
      <c r="I6" s="13">
        <v>241.90502460036183</v>
      </c>
      <c r="J6" s="13">
        <v>95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spans="1:40" ht="13.5" customHeight="1" x14ac:dyDescent="0.3">
      <c r="A7" s="10" t="s">
        <v>26</v>
      </c>
      <c r="B7" s="10" t="s">
        <v>130</v>
      </c>
      <c r="C7" s="1">
        <v>7.6</v>
      </c>
      <c r="D7" s="1">
        <v>43064039934.549797</v>
      </c>
      <c r="E7" s="1">
        <v>938739926.36016011</v>
      </c>
      <c r="F7" s="1">
        <v>215320199.67269999</v>
      </c>
      <c r="G7" s="1">
        <v>4693.6996318008005</v>
      </c>
      <c r="H7" s="9">
        <v>6.8277587415255256</v>
      </c>
      <c r="I7" s="13">
        <v>687.44368532741794</v>
      </c>
      <c r="J7" s="13">
        <v>95.5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</row>
    <row r="8" spans="1:40" ht="13.5" customHeight="1" x14ac:dyDescent="0.3">
      <c r="A8" s="10" t="s">
        <v>9</v>
      </c>
      <c r="B8" s="10" t="s">
        <v>131</v>
      </c>
      <c r="C8" s="1">
        <v>1.5</v>
      </c>
      <c r="D8" s="1">
        <v>86365221338.335495</v>
      </c>
      <c r="E8" s="1">
        <v>907682239.17930913</v>
      </c>
      <c r="F8" s="1">
        <v>431826106.69169998</v>
      </c>
      <c r="G8" s="1">
        <v>4538.411195896545</v>
      </c>
      <c r="H8" s="9">
        <v>13.693116016352025</v>
      </c>
      <c r="I8" s="13">
        <v>331.43743107681786</v>
      </c>
      <c r="J8" s="13">
        <v>75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</row>
    <row r="9" spans="1:40" ht="13.5" customHeight="1" x14ac:dyDescent="0.3">
      <c r="A9" s="10" t="s">
        <v>26</v>
      </c>
      <c r="B9" s="10" t="s">
        <v>132</v>
      </c>
      <c r="C9" s="1">
        <v>1.5</v>
      </c>
      <c r="D9" s="1">
        <v>80364770149.305099</v>
      </c>
      <c r="E9" s="1">
        <v>888516768.74268293</v>
      </c>
      <c r="F9" s="1">
        <v>401823850.74650002</v>
      </c>
      <c r="G9" s="1">
        <v>4442.5838437134153</v>
      </c>
      <c r="H9" s="9">
        <v>12.741750721287591</v>
      </c>
      <c r="I9" s="13">
        <v>348.66353461861473</v>
      </c>
      <c r="J9" s="13">
        <v>87.5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</row>
    <row r="10" spans="1:40" ht="13.5" customHeight="1" x14ac:dyDescent="0.3">
      <c r="A10" s="10" t="s">
        <v>22</v>
      </c>
      <c r="B10" s="10" t="s">
        <v>133</v>
      </c>
      <c r="C10" s="1">
        <v>3</v>
      </c>
      <c r="D10" s="1">
        <v>52337971973.641899</v>
      </c>
      <c r="E10" s="1">
        <v>880173430.53095376</v>
      </c>
      <c r="F10" s="1">
        <v>261689859.8682</v>
      </c>
      <c r="G10" s="1">
        <v>4400.8671526547687</v>
      </c>
      <c r="H10" s="9">
        <v>8.2981310206814278</v>
      </c>
      <c r="I10" s="13">
        <v>530.34438016060358</v>
      </c>
      <c r="J10" s="13">
        <v>87.5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</row>
    <row r="11" spans="1:40" ht="13.5" customHeight="1" x14ac:dyDescent="0.3">
      <c r="A11" s="10" t="s">
        <v>26</v>
      </c>
      <c r="B11" s="10" t="s">
        <v>134</v>
      </c>
      <c r="C11" s="1">
        <v>4.3</v>
      </c>
      <c r="D11" s="1">
        <v>57214068958.272003</v>
      </c>
      <c r="E11" s="1">
        <v>866586375.804111</v>
      </c>
      <c r="F11" s="1">
        <v>286070344.79140002</v>
      </c>
      <c r="G11" s="1">
        <v>4332.9318790205552</v>
      </c>
      <c r="H11" s="9">
        <v>9.0712311260578389</v>
      </c>
      <c r="I11" s="13">
        <v>477.65643040158693</v>
      </c>
      <c r="J11" s="13">
        <v>93.5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 spans="1:40" ht="13.5" customHeight="1" x14ac:dyDescent="0.3">
      <c r="A12" s="10" t="s">
        <v>10</v>
      </c>
      <c r="B12" s="10" t="s">
        <v>96</v>
      </c>
      <c r="C12" s="1">
        <v>3</v>
      </c>
      <c r="D12" s="1">
        <v>89773920410.437805</v>
      </c>
      <c r="E12" s="1">
        <v>864054611.59183788</v>
      </c>
      <c r="F12" s="1">
        <v>448869602.05220002</v>
      </c>
      <c r="G12" s="1">
        <v>4320.2730579591898</v>
      </c>
      <c r="H12" s="9">
        <v>14.233561708910104</v>
      </c>
      <c r="I12" s="13">
        <v>303.52719483098394</v>
      </c>
      <c r="J12" s="13">
        <v>87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 spans="1:40" ht="13.5" customHeight="1" x14ac:dyDescent="0.3">
      <c r="A13" s="10" t="s">
        <v>9</v>
      </c>
      <c r="B13" s="10" t="s">
        <v>135</v>
      </c>
      <c r="C13" s="1">
        <v>8</v>
      </c>
      <c r="D13" s="1">
        <v>36568867131.413399</v>
      </c>
      <c r="E13" s="1">
        <v>848096471.09884191</v>
      </c>
      <c r="F13" s="1">
        <v>182844335.65709999</v>
      </c>
      <c r="G13" s="1">
        <v>4240.4823554942095</v>
      </c>
      <c r="H13" s="9">
        <v>5.7979558490952243</v>
      </c>
      <c r="I13" s="13">
        <v>731.37541331156228</v>
      </c>
      <c r="J13" s="13">
        <v>95.5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 spans="1:40" ht="13.5" customHeight="1" x14ac:dyDescent="0.3">
      <c r="A14" s="10" t="s">
        <v>23</v>
      </c>
      <c r="B14" s="10" t="s">
        <v>97</v>
      </c>
      <c r="C14" s="1">
        <v>2</v>
      </c>
      <c r="D14" s="1">
        <v>41865056651.391899</v>
      </c>
      <c r="E14" s="1">
        <v>822032566.979532</v>
      </c>
      <c r="F14" s="1">
        <v>209325283.257</v>
      </c>
      <c r="G14" s="1">
        <v>4110.1628348976601</v>
      </c>
      <c r="H14" s="9">
        <v>6.6376611890207853</v>
      </c>
      <c r="I14" s="13">
        <v>619.21853463930836</v>
      </c>
      <c r="J14" s="13">
        <v>62.5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 spans="1:40" ht="13.5" customHeight="1" x14ac:dyDescent="0.3">
      <c r="A15" s="10" t="s">
        <v>27</v>
      </c>
      <c r="B15" s="10" t="s">
        <v>98</v>
      </c>
      <c r="C15" s="1">
        <v>8.6</v>
      </c>
      <c r="D15" s="1">
        <v>41304046316.198097</v>
      </c>
      <c r="E15" s="1">
        <v>796198604.63680506</v>
      </c>
      <c r="F15" s="1">
        <v>206520231.581</v>
      </c>
      <c r="G15" s="1">
        <v>3980.9930231840253</v>
      </c>
      <c r="H15" s="9">
        <v>6.5487135838720985</v>
      </c>
      <c r="I15" s="13">
        <v>607.90458648065635</v>
      </c>
      <c r="J15" s="13">
        <v>98.5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0" ht="13.5" customHeight="1" x14ac:dyDescent="0.3">
      <c r="A16" s="10" t="s">
        <v>10</v>
      </c>
      <c r="B16" s="10" t="s">
        <v>99</v>
      </c>
      <c r="C16" s="1">
        <v>8</v>
      </c>
      <c r="D16" s="1">
        <v>35370388269.192497</v>
      </c>
      <c r="E16" s="1">
        <v>788892178.3349309</v>
      </c>
      <c r="F16" s="1">
        <v>176851941.34599999</v>
      </c>
      <c r="G16" s="1">
        <v>3944.4608916746547</v>
      </c>
      <c r="H16" s="9">
        <v>5.6079382720054065</v>
      </c>
      <c r="I16" s="13">
        <v>703.37095387893953</v>
      </c>
      <c r="J16" s="13">
        <v>95.5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 spans="1:40" ht="13.5" customHeight="1" x14ac:dyDescent="0.3">
      <c r="A17" s="10" t="s">
        <v>10</v>
      </c>
      <c r="B17" s="10" t="s">
        <v>100</v>
      </c>
      <c r="C17" s="1">
        <v>5.5</v>
      </c>
      <c r="D17" s="1">
        <v>48310942601.363098</v>
      </c>
      <c r="E17" s="1">
        <v>778950064.90643108</v>
      </c>
      <c r="F17" s="1">
        <v>241554713.0068</v>
      </c>
      <c r="G17" s="1">
        <v>3894.7503245321554</v>
      </c>
      <c r="H17" s="9">
        <v>7.6596497021440735</v>
      </c>
      <c r="I17" s="13">
        <v>508.4762980011925</v>
      </c>
      <c r="J17" s="13">
        <v>94.5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</row>
    <row r="18" spans="1:40" ht="13.5" customHeight="1" x14ac:dyDescent="0.3">
      <c r="A18" s="10" t="s">
        <v>27</v>
      </c>
      <c r="B18" s="10" t="s">
        <v>101</v>
      </c>
      <c r="C18" s="1">
        <v>4.3</v>
      </c>
      <c r="D18" s="1">
        <v>59985167333.348</v>
      </c>
      <c r="E18" s="1">
        <v>766642305.21122408</v>
      </c>
      <c r="F18" s="1">
        <v>299925836.66670001</v>
      </c>
      <c r="G18" s="1">
        <v>3833.21152605612</v>
      </c>
      <c r="H18" s="9">
        <v>9.510585891258879</v>
      </c>
      <c r="I18" s="13">
        <v>403.04683327440438</v>
      </c>
      <c r="J18" s="13">
        <v>94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 spans="1:40" ht="13.5" customHeight="1" x14ac:dyDescent="0.3">
      <c r="A19" s="10" t="s">
        <v>9</v>
      </c>
      <c r="B19" s="10" t="s">
        <v>136</v>
      </c>
      <c r="C19" s="1">
        <v>3</v>
      </c>
      <c r="D19" s="1">
        <v>83263915699.142899</v>
      </c>
      <c r="E19" s="1">
        <v>762285782.51283908</v>
      </c>
      <c r="F19" s="1">
        <v>416319578.4957</v>
      </c>
      <c r="G19" s="1">
        <v>3811.4289125641953</v>
      </c>
      <c r="H19" s="9">
        <v>13.201407232867659</v>
      </c>
      <c r="I19" s="13">
        <v>288.71383522469085</v>
      </c>
      <c r="J19" s="13">
        <v>78.5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13.5" customHeight="1" x14ac:dyDescent="0.3">
      <c r="A20" s="10" t="s">
        <v>27</v>
      </c>
      <c r="B20" s="10" t="s">
        <v>102</v>
      </c>
      <c r="C20" s="1">
        <v>1.5</v>
      </c>
      <c r="D20" s="1">
        <v>88866579024.048798</v>
      </c>
      <c r="E20" s="1">
        <v>739666712.20023298</v>
      </c>
      <c r="F20" s="1">
        <v>444332895.12019998</v>
      </c>
      <c r="G20" s="1">
        <v>3698.333561001165</v>
      </c>
      <c r="H20" s="9">
        <v>14.089703675806824</v>
      </c>
      <c r="I20" s="13">
        <v>262.48483616809534</v>
      </c>
      <c r="J20" s="13">
        <v>92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 spans="1:40" ht="13.5" customHeight="1" x14ac:dyDescent="0.3">
      <c r="A21" s="10" t="s">
        <v>22</v>
      </c>
      <c r="B21" s="10" t="s">
        <v>137</v>
      </c>
      <c r="C21" s="1">
        <v>2</v>
      </c>
      <c r="D21" s="1">
        <v>57801383524.719498</v>
      </c>
      <c r="E21" s="1">
        <v>710906055.96212101</v>
      </c>
      <c r="F21" s="1">
        <v>289006917.62360001</v>
      </c>
      <c r="G21" s="1">
        <v>3554.530279810605</v>
      </c>
      <c r="H21" s="9">
        <v>9.164349239713264</v>
      </c>
      <c r="I21" s="13">
        <v>387.8649958479561</v>
      </c>
      <c r="J21" s="13">
        <v>85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 spans="1:40" ht="13.5" customHeight="1" x14ac:dyDescent="0.3">
      <c r="A22" s="10" t="s">
        <v>10</v>
      </c>
      <c r="B22" s="10" t="s">
        <v>103</v>
      </c>
      <c r="C22" s="1">
        <v>1.5</v>
      </c>
      <c r="D22" s="1">
        <v>93531029427.889008</v>
      </c>
      <c r="E22" s="1">
        <v>700318372.62693298</v>
      </c>
      <c r="F22" s="1">
        <v>467655147.13940001</v>
      </c>
      <c r="G22" s="1">
        <v>3501.5918631346649</v>
      </c>
      <c r="H22" s="9">
        <v>14.829247435928622</v>
      </c>
      <c r="I22" s="13">
        <v>236.12741497932879</v>
      </c>
      <c r="J22" s="13">
        <v>90.5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spans="1:40" ht="13.5" customHeight="1" x14ac:dyDescent="0.3">
      <c r="A23" s="10" t="s">
        <v>27</v>
      </c>
      <c r="B23" s="10" t="s">
        <v>104</v>
      </c>
      <c r="C23" s="1">
        <v>7.6</v>
      </c>
      <c r="D23" s="1">
        <v>43976940081.1129</v>
      </c>
      <c r="E23" s="1">
        <v>692776693.06239593</v>
      </c>
      <c r="F23" s="1">
        <v>219884700.40560001</v>
      </c>
      <c r="G23" s="1">
        <v>3463.8834653119798</v>
      </c>
      <c r="H23" s="9">
        <v>6.9724981102728467</v>
      </c>
      <c r="I23" s="13">
        <v>496.7923132468847</v>
      </c>
      <c r="J23" s="13">
        <v>98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 spans="1:40" ht="13.5" customHeight="1" x14ac:dyDescent="0.3">
      <c r="A24" s="10" t="s">
        <v>27</v>
      </c>
      <c r="B24" s="10" t="s">
        <v>105</v>
      </c>
      <c r="C24" s="1">
        <v>1.5</v>
      </c>
      <c r="D24" s="1">
        <v>93553064754.141296</v>
      </c>
      <c r="E24" s="1">
        <v>677676436.72828197</v>
      </c>
      <c r="F24" s="1">
        <v>467765323.77069998</v>
      </c>
      <c r="G24" s="1">
        <v>3388.3821836414099</v>
      </c>
      <c r="H24" s="9">
        <v>14.832741113987394</v>
      </c>
      <c r="I24" s="13">
        <v>228.43937999067066</v>
      </c>
      <c r="J24" s="13">
        <v>94.5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 spans="1:40" ht="13.5" customHeight="1" x14ac:dyDescent="0.3">
      <c r="A25" s="10" t="s">
        <v>9</v>
      </c>
      <c r="B25" s="10" t="s">
        <v>138</v>
      </c>
      <c r="C25" s="1">
        <v>3.5</v>
      </c>
      <c r="D25" s="1">
        <v>56487177462.963402</v>
      </c>
      <c r="E25" s="1">
        <v>612680241.55855501</v>
      </c>
      <c r="F25" s="1">
        <v>282435887.31480002</v>
      </c>
      <c r="G25" s="1">
        <v>3063.4012077927746</v>
      </c>
      <c r="H25" s="9">
        <v>8.9559832355028224</v>
      </c>
      <c r="I25" s="13">
        <v>342.05079746565468</v>
      </c>
      <c r="J25" s="13">
        <v>96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</row>
    <row r="26" spans="1:40" ht="13.5" customHeight="1" x14ac:dyDescent="0.3">
      <c r="A26" s="10" t="s">
        <v>9</v>
      </c>
      <c r="B26" s="10" t="s">
        <v>139</v>
      </c>
      <c r="C26" s="1">
        <v>5.5</v>
      </c>
      <c r="D26" s="1">
        <v>47153675259.402</v>
      </c>
      <c r="E26" s="1">
        <v>608591248.65871799</v>
      </c>
      <c r="F26" s="1">
        <v>235768376.29699999</v>
      </c>
      <c r="G26" s="1">
        <v>3042.95624329359</v>
      </c>
      <c r="H26" s="9">
        <v>7.4761661687281205</v>
      </c>
      <c r="I26" s="13">
        <v>407.02094825311667</v>
      </c>
      <c r="J26" s="13">
        <v>86.5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 spans="1:40" ht="13.5" customHeight="1" x14ac:dyDescent="0.3">
      <c r="A27" s="10" t="s">
        <v>35</v>
      </c>
      <c r="B27" s="10" t="s">
        <v>106</v>
      </c>
      <c r="C27" s="1">
        <v>15</v>
      </c>
      <c r="D27" s="1">
        <v>30064075799.786598</v>
      </c>
      <c r="E27" s="1">
        <v>572532513.57291603</v>
      </c>
      <c r="F27" s="1">
        <v>150320378.9989</v>
      </c>
      <c r="G27" s="1">
        <v>2862.6625678645801</v>
      </c>
      <c r="H27" s="9">
        <v>4.7666279489768195</v>
      </c>
      <c r="I27" s="13">
        <v>600.56345880300239</v>
      </c>
      <c r="J27" s="13">
        <v>97.5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spans="1:40" ht="13.5" customHeight="1" x14ac:dyDescent="0.3">
      <c r="A28" s="10" t="s">
        <v>22</v>
      </c>
      <c r="B28" s="10" t="s">
        <v>140</v>
      </c>
      <c r="C28" s="1">
        <v>2</v>
      </c>
      <c r="D28" s="1">
        <v>22950240421.844799</v>
      </c>
      <c r="E28" s="1">
        <v>564640691.32637703</v>
      </c>
      <c r="F28" s="1">
        <v>114751202.1092</v>
      </c>
      <c r="G28" s="1">
        <v>2823.2034566318853</v>
      </c>
      <c r="H28" s="9">
        <v>3.638736748770421</v>
      </c>
      <c r="I28" s="13">
        <v>775.87461021627473</v>
      </c>
      <c r="J28" s="13">
        <v>89.5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 spans="1:40" ht="13.5" customHeight="1" x14ac:dyDescent="0.3">
      <c r="A29" s="10" t="s">
        <v>10</v>
      </c>
      <c r="B29" s="10" t="s">
        <v>107</v>
      </c>
      <c r="C29" s="1">
        <v>5</v>
      </c>
      <c r="D29" s="1">
        <v>37740250257.147003</v>
      </c>
      <c r="E29" s="1">
        <v>549520073.97603905</v>
      </c>
      <c r="F29" s="1">
        <v>188701251.28569999</v>
      </c>
      <c r="G29" s="1">
        <v>2747.6003698801951</v>
      </c>
      <c r="H29" s="9">
        <v>5.9836774253467473</v>
      </c>
      <c r="I29" s="13">
        <v>459.18256860595636</v>
      </c>
      <c r="J29" s="13">
        <v>85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spans="1:40" ht="13.5" customHeight="1" x14ac:dyDescent="0.3">
      <c r="A30" s="10" t="s">
        <v>39</v>
      </c>
      <c r="B30" s="10" t="s">
        <v>108</v>
      </c>
      <c r="C30" s="1">
        <v>1.5</v>
      </c>
      <c r="D30" s="1">
        <v>99421485361.756897</v>
      </c>
      <c r="E30" s="1">
        <v>541661912.96293497</v>
      </c>
      <c r="F30" s="1">
        <v>497107426.80879998</v>
      </c>
      <c r="G30" s="1">
        <v>2708.309564814675</v>
      </c>
      <c r="H30" s="9">
        <v>15.763173097691036</v>
      </c>
      <c r="I30" s="13">
        <v>171.81246110983733</v>
      </c>
      <c r="J30" s="13">
        <v>84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 spans="1:40" ht="13.5" customHeight="1" x14ac:dyDescent="0.3">
      <c r="A31" s="10" t="s">
        <v>25</v>
      </c>
      <c r="B31" s="10" t="s">
        <v>109</v>
      </c>
      <c r="C31" s="1">
        <v>7</v>
      </c>
      <c r="D31" s="1">
        <v>38795364797.399498</v>
      </c>
      <c r="E31" s="1">
        <v>537461298.58989906</v>
      </c>
      <c r="F31" s="1">
        <v>193976823.98699999</v>
      </c>
      <c r="G31" s="1">
        <v>2687.3064929494949</v>
      </c>
      <c r="H31" s="9">
        <v>6.1509647382990069</v>
      </c>
      <c r="I31" s="13">
        <v>436.89187099658858</v>
      </c>
      <c r="J31" s="13">
        <v>68.5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</row>
    <row r="32" spans="1:40" ht="13.5" customHeight="1" x14ac:dyDescent="0.3">
      <c r="A32" s="10" t="s">
        <v>27</v>
      </c>
      <c r="B32" s="10" t="s">
        <v>110</v>
      </c>
      <c r="C32" s="1">
        <v>18</v>
      </c>
      <c r="D32" s="1">
        <v>27721656627.638</v>
      </c>
      <c r="E32" s="1">
        <v>515282694.98521501</v>
      </c>
      <c r="F32" s="1">
        <v>138608283.13820001</v>
      </c>
      <c r="G32" s="1">
        <v>2576.4134749260802</v>
      </c>
      <c r="H32" s="9">
        <v>4.3952398255387495</v>
      </c>
      <c r="I32" s="13">
        <v>586.18268335568462</v>
      </c>
      <c r="J32" s="13">
        <v>96.5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spans="1:40" ht="13.5" customHeight="1" x14ac:dyDescent="0.3">
      <c r="A33" s="10" t="s">
        <v>36</v>
      </c>
      <c r="B33" s="10" t="s">
        <v>141</v>
      </c>
      <c r="C33" s="1">
        <v>15</v>
      </c>
      <c r="D33" s="1">
        <v>30838512244.460098</v>
      </c>
      <c r="E33" s="1">
        <v>498982818.83685607</v>
      </c>
      <c r="F33" s="1">
        <v>154192561.22229999</v>
      </c>
      <c r="G33" s="1">
        <v>2494.9140941842802</v>
      </c>
      <c r="H33" s="9">
        <v>4.8894140418030343</v>
      </c>
      <c r="I33" s="13">
        <v>510.26852560521723</v>
      </c>
      <c r="J33" s="13">
        <v>99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</row>
    <row r="34" spans="1:40" ht="13.5" customHeight="1" x14ac:dyDescent="0.3">
      <c r="A34" s="10" t="s">
        <v>38</v>
      </c>
      <c r="B34" s="10" t="s">
        <v>111</v>
      </c>
      <c r="C34" s="1">
        <v>10</v>
      </c>
      <c r="D34" s="1">
        <v>31168689339.399101</v>
      </c>
      <c r="E34" s="1">
        <v>489423867.97862703</v>
      </c>
      <c r="F34" s="1">
        <v>155843446.697</v>
      </c>
      <c r="G34" s="1">
        <v>2447.119339893135</v>
      </c>
      <c r="H34" s="9">
        <v>4.9417632767946316</v>
      </c>
      <c r="I34" s="13">
        <v>495.19153444363411</v>
      </c>
      <c r="J34" s="13">
        <v>83.5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 spans="1:40" ht="13.5" customHeight="1" x14ac:dyDescent="0.3">
      <c r="A35" s="10" t="s">
        <v>27</v>
      </c>
      <c r="B35" s="10" t="s">
        <v>112</v>
      </c>
      <c r="C35" s="1">
        <v>2</v>
      </c>
      <c r="D35" s="1">
        <v>91299884458.511597</v>
      </c>
      <c r="E35" s="1">
        <v>468667030.91153103</v>
      </c>
      <c r="F35" s="1">
        <v>456499422.29259998</v>
      </c>
      <c r="G35" s="1">
        <v>2343.3351545576552</v>
      </c>
      <c r="H35" s="9">
        <v>14.47550172160572</v>
      </c>
      <c r="I35" s="13">
        <v>161.88282794095213</v>
      </c>
      <c r="J35" s="13">
        <v>97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</row>
    <row r="36" spans="1:40" ht="13.5" customHeight="1" x14ac:dyDescent="0.3">
      <c r="A36" s="10" t="s">
        <v>10</v>
      </c>
      <c r="B36" s="10" t="s">
        <v>113</v>
      </c>
      <c r="C36" s="1">
        <v>1.5</v>
      </c>
      <c r="D36" s="1">
        <v>76779077436.167892</v>
      </c>
      <c r="E36" s="1">
        <v>455673231.52883399</v>
      </c>
      <c r="F36" s="1">
        <v>383895387.18080002</v>
      </c>
      <c r="G36" s="1">
        <v>2278.36615764417</v>
      </c>
      <c r="H36" s="9">
        <v>12.173242871031185</v>
      </c>
      <c r="I36" s="13">
        <v>187.16180904153535</v>
      </c>
      <c r="J36" s="13">
        <v>86.5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</row>
    <row r="37" spans="1:40" ht="13.5" customHeight="1" x14ac:dyDescent="0.3">
      <c r="A37" s="10" t="s">
        <v>27</v>
      </c>
      <c r="B37" s="10" t="s">
        <v>114</v>
      </c>
      <c r="C37" s="1">
        <v>1</v>
      </c>
      <c r="D37" s="1">
        <v>98670218326.329407</v>
      </c>
      <c r="E37" s="1">
        <v>443740228.65559494</v>
      </c>
      <c r="F37" s="1">
        <v>493351091.63160002</v>
      </c>
      <c r="G37" s="1">
        <v>2218.701143277975</v>
      </c>
      <c r="H37" s="9">
        <v>15.644060490602708</v>
      </c>
      <c r="I37" s="13">
        <v>141.82386629166612</v>
      </c>
      <c r="J37" s="13">
        <v>82.5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 spans="1:40" ht="13.5" customHeight="1" x14ac:dyDescent="0.3">
      <c r="A38" s="10" t="s">
        <v>10</v>
      </c>
      <c r="B38" s="10" t="s">
        <v>115</v>
      </c>
      <c r="C38" s="1">
        <v>1</v>
      </c>
      <c r="D38" s="1">
        <v>100031897246.0191</v>
      </c>
      <c r="E38" s="1">
        <v>420895071.77810699</v>
      </c>
      <c r="F38" s="1">
        <v>500159486.23009998</v>
      </c>
      <c r="G38" s="1">
        <v>2104.4753588905351</v>
      </c>
      <c r="H38" s="9">
        <v>15.859953267062897</v>
      </c>
      <c r="I38" s="13">
        <v>132.69114501497285</v>
      </c>
      <c r="J38" s="13">
        <v>83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</row>
    <row r="39" spans="1:40" ht="13.5" customHeight="1" x14ac:dyDescent="0.3">
      <c r="A39" s="10" t="s">
        <v>37</v>
      </c>
      <c r="B39" s="10" t="s">
        <v>142</v>
      </c>
      <c r="C39" s="1">
        <v>3</v>
      </c>
      <c r="D39" s="1">
        <v>77299017321.707703</v>
      </c>
      <c r="E39" s="1">
        <v>391193863.53919798</v>
      </c>
      <c r="F39" s="1">
        <v>386495086.6085</v>
      </c>
      <c r="G39" s="1">
        <v>1955.96931769599</v>
      </c>
      <c r="H39" s="9">
        <v>12.255678799103833</v>
      </c>
      <c r="I39" s="13">
        <v>159.59697947036727</v>
      </c>
      <c r="J39" s="13">
        <v>82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</row>
    <row r="40" spans="1:40" ht="13.5" customHeight="1" x14ac:dyDescent="0.3">
      <c r="A40" s="10" t="s">
        <v>24</v>
      </c>
      <c r="B40" s="10" t="s">
        <v>143</v>
      </c>
      <c r="C40" s="1">
        <v>3</v>
      </c>
      <c r="D40" s="1">
        <v>54408688306.934303</v>
      </c>
      <c r="E40" s="1">
        <v>387362074.02971399</v>
      </c>
      <c r="F40" s="1">
        <v>272043441.53469998</v>
      </c>
      <c r="G40" s="1">
        <v>1936.81037014857</v>
      </c>
      <c r="H40" s="9">
        <v>8.6264409416118575</v>
      </c>
      <c r="I40" s="13">
        <v>224.52021444972362</v>
      </c>
      <c r="J40" s="13">
        <v>91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</row>
    <row r="41" spans="1:40" ht="13.5" customHeight="1" x14ac:dyDescent="0.3">
      <c r="A41" s="10" t="s">
        <v>26</v>
      </c>
      <c r="B41" s="10" t="s">
        <v>144</v>
      </c>
      <c r="C41" s="1">
        <v>1</v>
      </c>
      <c r="D41" s="1">
        <v>105287217094.3933</v>
      </c>
      <c r="E41" s="1">
        <v>377327799.86612403</v>
      </c>
      <c r="F41" s="1">
        <v>526436085.472</v>
      </c>
      <c r="G41" s="1">
        <v>1886.6389993306202</v>
      </c>
      <c r="H41" s="9">
        <v>16.693178763063372</v>
      </c>
      <c r="I41" s="13">
        <v>113.01855842490255</v>
      </c>
      <c r="J41" s="13">
        <v>75.5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</row>
    <row r="42" spans="1:40" ht="13.5" customHeight="1" x14ac:dyDescent="0.3">
      <c r="A42" s="10" t="s">
        <v>27</v>
      </c>
      <c r="B42" s="10" t="s">
        <v>116</v>
      </c>
      <c r="C42" s="1">
        <v>1</v>
      </c>
      <c r="D42" s="1">
        <v>121889430533.2966</v>
      </c>
      <c r="E42" s="1">
        <v>369487244.93532002</v>
      </c>
      <c r="F42" s="1">
        <v>609447152.66649997</v>
      </c>
      <c r="G42" s="1">
        <v>1847.4362246766002</v>
      </c>
      <c r="H42" s="9">
        <v>19.325442436151796</v>
      </c>
      <c r="I42" s="13">
        <v>95.596063623393732</v>
      </c>
      <c r="J42" s="13">
        <v>92.5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</row>
    <row r="43" spans="1:40" ht="13.5" customHeight="1" x14ac:dyDescent="0.3">
      <c r="A43" s="10" t="s">
        <v>26</v>
      </c>
      <c r="B43" s="10" t="s">
        <v>145</v>
      </c>
      <c r="C43" s="1">
        <v>18</v>
      </c>
      <c r="D43" s="1">
        <v>26759315939.5075</v>
      </c>
      <c r="E43" s="1">
        <v>364053992.36780697</v>
      </c>
      <c r="F43" s="1">
        <v>133796579.69750001</v>
      </c>
      <c r="G43" s="1">
        <v>1820.269961839035</v>
      </c>
      <c r="H43" s="9">
        <v>4.2426617103480941</v>
      </c>
      <c r="I43" s="13">
        <v>429.03961854872676</v>
      </c>
      <c r="J43" s="13">
        <v>99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</row>
    <row r="44" spans="1:40" ht="13.5" customHeight="1" x14ac:dyDescent="0.3">
      <c r="A44" s="10" t="s">
        <v>24</v>
      </c>
      <c r="B44" s="10" t="s">
        <v>146</v>
      </c>
      <c r="C44" s="1">
        <v>1</v>
      </c>
      <c r="D44" s="1">
        <v>87776890910.5802</v>
      </c>
      <c r="E44" s="1">
        <v>341035468.64059496</v>
      </c>
      <c r="F44" s="1">
        <v>438884454.55290002</v>
      </c>
      <c r="G44" s="1">
        <v>1705.177343202975</v>
      </c>
      <c r="H44" s="9">
        <v>13.916934758780473</v>
      </c>
      <c r="I44" s="13">
        <v>122.52535294290608</v>
      </c>
      <c r="J44" s="13">
        <v>87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</row>
    <row r="45" spans="1:40" ht="13.5" customHeight="1" x14ac:dyDescent="0.3">
      <c r="A45" s="10" t="s">
        <v>24</v>
      </c>
      <c r="B45" s="10" t="s">
        <v>147</v>
      </c>
      <c r="C45" s="1">
        <v>2</v>
      </c>
      <c r="D45" s="1">
        <v>61480094866.463203</v>
      </c>
      <c r="E45" s="1">
        <v>316122851.74967998</v>
      </c>
      <c r="F45" s="1">
        <v>307400474.33230001</v>
      </c>
      <c r="G45" s="1">
        <v>1580.6142587484001</v>
      </c>
      <c r="H45" s="9">
        <v>9.7476050967883054</v>
      </c>
      <c r="I45" s="13">
        <v>162.15411304148847</v>
      </c>
      <c r="J45" s="13">
        <v>86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</row>
    <row r="46" spans="1:40" ht="13.5" customHeight="1" x14ac:dyDescent="0.3">
      <c r="A46" s="10" t="s">
        <v>37</v>
      </c>
      <c r="B46" s="10" t="s">
        <v>148</v>
      </c>
      <c r="C46" s="1">
        <v>10</v>
      </c>
      <c r="D46" s="1">
        <v>32189652862.710499</v>
      </c>
      <c r="E46" s="1">
        <v>284319215.33512801</v>
      </c>
      <c r="F46" s="1">
        <v>160948264.3136</v>
      </c>
      <c r="G46" s="1">
        <v>1421.59607667564</v>
      </c>
      <c r="H46" s="9">
        <v>5.1036359815307106</v>
      </c>
      <c r="I46" s="13">
        <v>278.54574303892008</v>
      </c>
      <c r="J46" s="13">
        <v>96.5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</row>
    <row r="47" spans="1:40" ht="13.5" customHeight="1" x14ac:dyDescent="0.3">
      <c r="A47" s="10" t="s">
        <v>39</v>
      </c>
      <c r="B47" s="10" t="s">
        <v>117</v>
      </c>
      <c r="C47" s="1">
        <v>2.2999999999999998</v>
      </c>
      <c r="D47" s="1">
        <v>57662446770.772499</v>
      </c>
      <c r="E47" s="1">
        <v>250087169.472213</v>
      </c>
      <c r="F47" s="1">
        <v>288312233.85390002</v>
      </c>
      <c r="G47" s="1">
        <v>1250.435847361065</v>
      </c>
      <c r="H47" s="9">
        <v>9.1423209618804702</v>
      </c>
      <c r="I47" s="13">
        <v>136.77444191413127</v>
      </c>
      <c r="J47" s="13">
        <v>84.5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  <row r="48" spans="1:40" ht="13.5" customHeight="1" x14ac:dyDescent="0.3">
      <c r="A48" s="10" t="s">
        <v>24</v>
      </c>
      <c r="B48" s="10" t="s">
        <v>149</v>
      </c>
      <c r="C48" s="1">
        <v>7</v>
      </c>
      <c r="D48" s="1">
        <v>39777105022.437798</v>
      </c>
      <c r="E48" s="1">
        <v>236140350.797295</v>
      </c>
      <c r="F48" s="1">
        <v>198885525.11219999</v>
      </c>
      <c r="G48" s="1">
        <v>1180.7017539864751</v>
      </c>
      <c r="H48" s="9">
        <v>6.306618629889301</v>
      </c>
      <c r="I48" s="13">
        <v>187.21629184785505</v>
      </c>
      <c r="J48" s="13">
        <v>96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</row>
    <row r="49" spans="1:40" ht="13.5" customHeight="1" x14ac:dyDescent="0.3">
      <c r="A49" s="10" t="s">
        <v>38</v>
      </c>
      <c r="B49" s="10" t="s">
        <v>118</v>
      </c>
      <c r="C49" s="1">
        <v>1.3</v>
      </c>
      <c r="D49" s="1">
        <v>44247651871.706802</v>
      </c>
      <c r="E49" s="1">
        <v>229166703.669366</v>
      </c>
      <c r="F49" s="1">
        <v>221238259.3585</v>
      </c>
      <c r="G49" s="1">
        <v>1145.83351834683</v>
      </c>
      <c r="H49" s="9">
        <v>7.0154191831092723</v>
      </c>
      <c r="I49" s="13">
        <v>163.33072742190586</v>
      </c>
      <c r="J49" s="13">
        <v>54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</row>
    <row r="50" spans="1:40" ht="13.5" customHeight="1" x14ac:dyDescent="0.3">
      <c r="A50" s="10" t="s">
        <v>24</v>
      </c>
      <c r="B50" s="10" t="s">
        <v>150</v>
      </c>
      <c r="C50" s="1">
        <v>15</v>
      </c>
      <c r="D50" s="1">
        <v>26534304293.144299</v>
      </c>
      <c r="E50" s="1">
        <v>226350547.15832999</v>
      </c>
      <c r="F50" s="1">
        <v>132671521.4657</v>
      </c>
      <c r="G50" s="1">
        <v>1131.7527357916499</v>
      </c>
      <c r="H50" s="9">
        <v>4.2069863478475868</v>
      </c>
      <c r="I50" s="13">
        <v>269.01744912262114</v>
      </c>
      <c r="J50" s="13">
        <v>97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</row>
    <row r="51" spans="1:40" ht="13.5" customHeight="1" x14ac:dyDescent="0.3">
      <c r="A51" s="10" t="s">
        <v>39</v>
      </c>
      <c r="B51" s="10" t="s">
        <v>119</v>
      </c>
      <c r="C51" s="1">
        <v>1.6</v>
      </c>
      <c r="D51" s="1">
        <v>77636723297.792496</v>
      </c>
      <c r="E51" s="1">
        <v>210507848.99495399</v>
      </c>
      <c r="F51" s="1">
        <v>388183616.48900002</v>
      </c>
      <c r="G51" s="1">
        <v>1052.5392449747699</v>
      </c>
      <c r="H51" s="9">
        <v>12.309221730370449</v>
      </c>
      <c r="I51" s="13">
        <v>85.508187928555046</v>
      </c>
      <c r="J51" s="13">
        <v>70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</row>
    <row r="52" spans="1:40" ht="13.5" customHeight="1" x14ac:dyDescent="0.3">
      <c r="A52" s="10" t="s">
        <v>39</v>
      </c>
      <c r="B52" s="10" t="s">
        <v>120</v>
      </c>
      <c r="C52" s="1">
        <v>1</v>
      </c>
      <c r="D52" s="1">
        <v>78638375435.034607</v>
      </c>
      <c r="E52" s="1">
        <v>187775670.46443301</v>
      </c>
      <c r="F52" s="1">
        <v>393191877.17519999</v>
      </c>
      <c r="G52" s="1">
        <v>938.87835232216503</v>
      </c>
      <c r="H52" s="9">
        <v>12.468032634930651</v>
      </c>
      <c r="I52" s="13">
        <v>75.302846873514554</v>
      </c>
      <c r="J52" s="13">
        <v>59.5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</row>
    <row r="53" spans="1:40" ht="13.5" customHeight="1" x14ac:dyDescent="0.3">
      <c r="A53" s="10" t="s">
        <v>39</v>
      </c>
      <c r="B53" s="10" t="s">
        <v>121</v>
      </c>
      <c r="C53" s="1">
        <v>1.8</v>
      </c>
      <c r="D53" s="1">
        <v>71299686387.896301</v>
      </c>
      <c r="E53" s="1">
        <v>175093948.043589</v>
      </c>
      <c r="F53" s="1">
        <v>356498431.93949997</v>
      </c>
      <c r="G53" s="1">
        <v>875.46974021794495</v>
      </c>
      <c r="H53" s="9">
        <v>11.304491119339216</v>
      </c>
      <c r="I53" s="13">
        <v>77.444418415281916</v>
      </c>
      <c r="J53" s="13">
        <v>83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</row>
    <row r="54" spans="1:40" ht="13.5" customHeight="1" x14ac:dyDescent="0.3">
      <c r="A54" s="10" t="s">
        <v>39</v>
      </c>
      <c r="B54" s="10" t="s">
        <v>122</v>
      </c>
      <c r="C54" s="1">
        <v>1.3</v>
      </c>
      <c r="D54" s="1">
        <v>84919903312.410507</v>
      </c>
      <c r="E54" s="1">
        <v>169941611.3301</v>
      </c>
      <c r="F54" s="1">
        <v>424599516.56209999</v>
      </c>
      <c r="G54" s="1">
        <v>849.7080566505</v>
      </c>
      <c r="H54" s="9">
        <v>13.463962346589692</v>
      </c>
      <c r="I54" s="13">
        <v>63.109806368830483</v>
      </c>
      <c r="J54" s="13">
        <v>81.5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</row>
    <row r="55" spans="1:40" ht="13.5" customHeight="1" x14ac:dyDescent="0.3">
      <c r="A55" s="10" t="s">
        <v>38</v>
      </c>
      <c r="B55" s="10" t="s">
        <v>123</v>
      </c>
      <c r="C55" s="1">
        <v>9.25</v>
      </c>
      <c r="D55" s="1">
        <v>30383684267.830399</v>
      </c>
      <c r="E55" s="1">
        <v>162933829.00568998</v>
      </c>
      <c r="F55" s="1">
        <v>151918421.33919999</v>
      </c>
      <c r="G55" s="1">
        <v>814.66914502844998</v>
      </c>
      <c r="H55" s="9">
        <v>4.8173015391664125</v>
      </c>
      <c r="I55" s="13">
        <v>169.11317226146085</v>
      </c>
      <c r="J55" s="13">
        <v>83.5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</row>
    <row r="56" spans="1:40" ht="13.5" customHeight="1" x14ac:dyDescent="0.3">
      <c r="A56" s="10" t="s">
        <v>39</v>
      </c>
      <c r="B56" s="10" t="s">
        <v>124</v>
      </c>
      <c r="C56" s="1">
        <v>1</v>
      </c>
      <c r="D56" s="1">
        <v>93134574629.674301</v>
      </c>
      <c r="E56" s="1">
        <v>148277117.21310601</v>
      </c>
      <c r="F56" s="1">
        <v>465672873.14840001</v>
      </c>
      <c r="G56" s="1">
        <v>741.38558606553011</v>
      </c>
      <c r="H56" s="9">
        <v>14.766389940016854</v>
      </c>
      <c r="I56" s="13">
        <v>50.207639719467132</v>
      </c>
      <c r="J56" s="13">
        <v>80.5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</row>
    <row r="57" spans="1:40" ht="13.5" customHeight="1" x14ac:dyDescent="0.3">
      <c r="A57" s="10" t="s">
        <v>38</v>
      </c>
      <c r="B57" s="10" t="s">
        <v>125</v>
      </c>
      <c r="C57" s="1">
        <v>1.5</v>
      </c>
      <c r="D57" s="1">
        <v>45381281326.217201</v>
      </c>
      <c r="E57" s="1">
        <v>133298471.71911001</v>
      </c>
      <c r="F57" s="1">
        <v>226906406.6311</v>
      </c>
      <c r="G57" s="1">
        <v>666.49235859555006</v>
      </c>
      <c r="H57" s="9">
        <v>7.1951549540552389</v>
      </c>
      <c r="I57" s="13">
        <v>92.630716482333767</v>
      </c>
      <c r="J57" s="13">
        <v>60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</row>
    <row r="58" spans="1:40" ht="13.5" customHeight="1" x14ac:dyDescent="0.3">
      <c r="A58" s="10" t="s">
        <v>39</v>
      </c>
      <c r="B58" s="10" t="s">
        <v>126</v>
      </c>
      <c r="C58" s="1">
        <v>0.4</v>
      </c>
      <c r="D58" s="1">
        <v>75648837857.589203</v>
      </c>
      <c r="E58" s="1">
        <v>123110419.36738801</v>
      </c>
      <c r="F58" s="1">
        <v>378244189.28789997</v>
      </c>
      <c r="G58" s="1">
        <v>615.55209683694</v>
      </c>
      <c r="H58" s="9">
        <v>11.994044561388446</v>
      </c>
      <c r="I58" s="13">
        <v>51.32147822916567</v>
      </c>
      <c r="J58" s="13">
        <v>60.5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</row>
    <row r="59" spans="1:40" ht="13.5" customHeight="1" x14ac:dyDescent="0.3">
      <c r="A59" s="10" t="s">
        <v>38</v>
      </c>
      <c r="B59" s="10" t="s">
        <v>127</v>
      </c>
      <c r="C59" s="1">
        <v>3</v>
      </c>
      <c r="D59" s="1">
        <v>42517812592.299797</v>
      </c>
      <c r="E59" s="1">
        <v>119867861.51964599</v>
      </c>
      <c r="F59" s="1">
        <v>212589062.96149999</v>
      </c>
      <c r="G59" s="1">
        <v>599.33930759822999</v>
      </c>
      <c r="H59" s="9">
        <v>6.7411549645325657</v>
      </c>
      <c r="I59" s="13">
        <v>88.90751076804365</v>
      </c>
      <c r="J59" s="13">
        <v>57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</row>
    <row r="60" spans="1:40" ht="13.5" customHeight="1" x14ac:dyDescent="0.3">
      <c r="A60" s="10" t="s">
        <v>10</v>
      </c>
      <c r="B60" s="10" t="s">
        <v>128</v>
      </c>
      <c r="C60" s="1">
        <v>0.5</v>
      </c>
      <c r="D60" s="1">
        <v>148745511515.93979</v>
      </c>
      <c r="E60" s="1">
        <v>111451440.73892696</v>
      </c>
      <c r="F60" s="1">
        <v>743727557.57969999</v>
      </c>
      <c r="G60" s="1">
        <v>557.25720369463488</v>
      </c>
      <c r="H60" s="9">
        <v>23.583446143445553</v>
      </c>
      <c r="I60" s="13">
        <v>23.629167692674592</v>
      </c>
      <c r="J60" s="13">
        <v>84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</row>
    <row r="61" spans="1:40" ht="45" customHeight="1" x14ac:dyDescent="0.3">
      <c r="A61" s="21" t="s">
        <v>8</v>
      </c>
      <c r="B61" s="22"/>
      <c r="C61" s="22"/>
      <c r="D61" s="22"/>
      <c r="E61" s="22"/>
      <c r="F61" s="22"/>
      <c r="G61" s="22"/>
      <c r="H61" s="22"/>
      <c r="I61" s="22"/>
      <c r="J61" s="22"/>
    </row>
    <row r="62" spans="1:40" ht="69.75" x14ac:dyDescent="0.3">
      <c r="A62" s="6" t="s">
        <v>4</v>
      </c>
      <c r="B62" s="2" t="s">
        <v>1</v>
      </c>
      <c r="C62" s="2" t="s">
        <v>7</v>
      </c>
      <c r="D62" s="2" t="s">
        <v>2</v>
      </c>
      <c r="E62" s="2" t="s">
        <v>3</v>
      </c>
      <c r="F62" s="2" t="s">
        <v>5</v>
      </c>
      <c r="G62" s="2" t="s">
        <v>0</v>
      </c>
      <c r="H62" s="8" t="s">
        <v>54</v>
      </c>
      <c r="I62" s="8" t="s">
        <v>56</v>
      </c>
      <c r="J62" s="8" t="s">
        <v>58</v>
      </c>
      <c r="K62" t="str">
        <f>ROUND(AVERAGE(G63:G119),2)&amp;"±"&amp;ROUND(_xlfn.STDEV.P(G63:G119),2)</f>
        <v>2119.17±1133.23</v>
      </c>
      <c r="L62" t="str">
        <f>ROUND(AVERAGE(H63:H119),2)&amp;"±"&amp;ROUND(_xlfn.STDEV.P(H63:H119),2)</f>
        <v>9.35±2.97</v>
      </c>
      <c r="M62" t="str">
        <f>ROUND(AVERAGE(I63:I119),2)&amp;"±"&amp;ROUND(_xlfn.STDEV.P(I63:I119),2)</f>
        <v>243.44±143.07</v>
      </c>
      <c r="N62" t="str">
        <f>ROUND(AVERAGE(J63:J119),2)&amp;"±"&amp;ROUND(_xlfn.STDEV.P(J63:J119),2)</f>
        <v>57.59±28.88</v>
      </c>
    </row>
    <row r="63" spans="1:40" x14ac:dyDescent="0.3">
      <c r="A63" s="1" t="s">
        <v>10</v>
      </c>
      <c r="B63" s="1" t="s">
        <v>162</v>
      </c>
      <c r="C63" s="1">
        <v>1.5</v>
      </c>
      <c r="D63" s="1">
        <v>85135064481.294998</v>
      </c>
      <c r="E63" s="1">
        <v>969426719.66620004</v>
      </c>
      <c r="F63" s="1">
        <v>425675322.40649998</v>
      </c>
      <c r="G63" s="1">
        <v>4847.1335982999999</v>
      </c>
      <c r="H63" s="9">
        <v>13.498075926131246</v>
      </c>
      <c r="I63" s="13">
        <v>359.09811330341671</v>
      </c>
      <c r="J63" s="4">
        <v>76.5</v>
      </c>
    </row>
    <row r="64" spans="1:40" x14ac:dyDescent="0.3">
      <c r="A64" s="1" t="s">
        <v>9</v>
      </c>
      <c r="B64" s="1" t="s">
        <v>151</v>
      </c>
      <c r="C64" s="1">
        <v>3.6</v>
      </c>
      <c r="D64" s="1">
        <v>48804909398.255898</v>
      </c>
      <c r="E64" s="1">
        <v>883487664.44219995</v>
      </c>
      <c r="F64" s="1">
        <v>244024546.99129999</v>
      </c>
      <c r="G64" s="1">
        <v>4417.4383222000006</v>
      </c>
      <c r="H64" s="9">
        <v>7.7379676240258588</v>
      </c>
      <c r="I64" s="13">
        <v>570.8783671418006</v>
      </c>
      <c r="J64" s="4">
        <v>66.5</v>
      </c>
    </row>
    <row r="65" spans="1:10" x14ac:dyDescent="0.3">
      <c r="A65" s="1" t="s">
        <v>10</v>
      </c>
      <c r="B65" s="1" t="s">
        <v>163</v>
      </c>
      <c r="C65" s="1">
        <v>1.5</v>
      </c>
      <c r="D65" s="1">
        <v>84305053395.042694</v>
      </c>
      <c r="E65" s="1">
        <v>820194883.31089997</v>
      </c>
      <c r="F65" s="1">
        <v>421525266.9752</v>
      </c>
      <c r="G65" s="1">
        <v>4100.9744166</v>
      </c>
      <c r="H65" s="9">
        <v>13.366478531684852</v>
      </c>
      <c r="I65" s="13">
        <v>306.8103844164159</v>
      </c>
      <c r="J65" s="4">
        <v>65</v>
      </c>
    </row>
    <row r="66" spans="1:10" x14ac:dyDescent="0.3">
      <c r="A66" s="1" t="s">
        <v>10</v>
      </c>
      <c r="B66" s="1" t="s">
        <v>164</v>
      </c>
      <c r="C66" s="1">
        <v>3.6</v>
      </c>
      <c r="D66" s="1">
        <v>50934978786.525002</v>
      </c>
      <c r="E66" s="1">
        <v>759048019.82070005</v>
      </c>
      <c r="F66" s="1">
        <v>254674893.93259999</v>
      </c>
      <c r="G66" s="1">
        <v>3795.2400991</v>
      </c>
      <c r="H66" s="9">
        <v>8.0756879100908492</v>
      </c>
      <c r="I66" s="13">
        <v>469.95873804852181</v>
      </c>
      <c r="J66" s="4">
        <v>70</v>
      </c>
    </row>
    <row r="67" spans="1:10" x14ac:dyDescent="0.3">
      <c r="A67" s="1" t="s">
        <v>9</v>
      </c>
      <c r="B67" s="1" t="s">
        <v>152</v>
      </c>
      <c r="C67" s="1">
        <v>1.3</v>
      </c>
      <c r="D67" s="1">
        <v>76493656920.654999</v>
      </c>
      <c r="E67" s="1">
        <v>743519012.01259995</v>
      </c>
      <c r="F67" s="1">
        <v>382468284.60329998</v>
      </c>
      <c r="G67" s="1">
        <v>3717.5950601</v>
      </c>
      <c r="H67" s="9">
        <v>12.127989745157121</v>
      </c>
      <c r="I67" s="13">
        <v>306.53019488118287</v>
      </c>
      <c r="J67" s="4">
        <v>54</v>
      </c>
    </row>
    <row r="68" spans="1:10" x14ac:dyDescent="0.3">
      <c r="A68" s="1" t="s">
        <v>9</v>
      </c>
      <c r="B68" s="1" t="s">
        <v>153</v>
      </c>
      <c r="C68" s="1">
        <v>1.5</v>
      </c>
      <c r="D68" s="1">
        <v>69726463695.600403</v>
      </c>
      <c r="E68" s="1">
        <v>740492878.50689995</v>
      </c>
      <c r="F68" s="1">
        <v>348632318.47799999</v>
      </c>
      <c r="G68" s="1">
        <v>3702.4643925</v>
      </c>
      <c r="H68" s="9">
        <v>11.055058297755011</v>
      </c>
      <c r="I68" s="13">
        <v>334.91134038179359</v>
      </c>
      <c r="J68" s="4">
        <v>54</v>
      </c>
    </row>
    <row r="69" spans="1:10" x14ac:dyDescent="0.3">
      <c r="A69" s="1" t="s">
        <v>9</v>
      </c>
      <c r="B69" s="1" t="s">
        <v>154</v>
      </c>
      <c r="C69" s="1">
        <v>1.3</v>
      </c>
      <c r="D69" s="1">
        <v>76902989771.400696</v>
      </c>
      <c r="E69" s="1">
        <v>729705474.4842</v>
      </c>
      <c r="F69" s="1">
        <v>384514948.85699999</v>
      </c>
      <c r="G69" s="1">
        <v>3648.5273723999999</v>
      </c>
      <c r="H69" s="9">
        <v>12.19288904290346</v>
      </c>
      <c r="I69" s="13">
        <v>299.23403383413273</v>
      </c>
      <c r="J69" s="4">
        <v>54.5</v>
      </c>
    </row>
    <row r="70" spans="1:10" x14ac:dyDescent="0.3">
      <c r="A70" s="1" t="s">
        <v>9</v>
      </c>
      <c r="B70" s="1" t="s">
        <v>155</v>
      </c>
      <c r="C70" s="1">
        <v>1</v>
      </c>
      <c r="D70" s="1">
        <v>63597187772.118896</v>
      </c>
      <c r="E70" s="1">
        <v>677011279.37609994</v>
      </c>
      <c r="F70" s="1">
        <v>317985938.86059999</v>
      </c>
      <c r="G70" s="1">
        <v>3385.0563969</v>
      </c>
      <c r="H70" s="9">
        <v>10.083267975031536</v>
      </c>
      <c r="I70" s="13">
        <v>335.71024843157687</v>
      </c>
      <c r="J70" s="4">
        <v>53.5</v>
      </c>
    </row>
    <row r="71" spans="1:10" x14ac:dyDescent="0.3">
      <c r="A71" s="1" t="s">
        <v>9</v>
      </c>
      <c r="B71" s="1" t="s">
        <v>156</v>
      </c>
      <c r="C71" s="1">
        <v>0.95</v>
      </c>
      <c r="D71" s="1">
        <v>81513056607.449097</v>
      </c>
      <c r="E71" s="1">
        <v>561920093.16190004</v>
      </c>
      <c r="F71" s="1">
        <v>407565283.03719997</v>
      </c>
      <c r="G71" s="1">
        <v>2809.6004658000002</v>
      </c>
      <c r="H71" s="9">
        <v>12.923810344915191</v>
      </c>
      <c r="I71" s="13">
        <v>217.39722193504824</v>
      </c>
      <c r="J71" s="4">
        <v>44.5</v>
      </c>
    </row>
    <row r="72" spans="1:10" x14ac:dyDescent="0.3">
      <c r="A72" s="1" t="s">
        <v>9</v>
      </c>
      <c r="B72" s="1" t="s">
        <v>157</v>
      </c>
      <c r="C72" s="1">
        <v>2</v>
      </c>
      <c r="D72" s="1">
        <v>60291664379.991402</v>
      </c>
      <c r="E72" s="1">
        <v>546556376.22329998</v>
      </c>
      <c r="F72" s="1">
        <v>301458321.89999998</v>
      </c>
      <c r="G72" s="1">
        <v>2732.7818811000002</v>
      </c>
      <c r="H72" s="9">
        <v>9.559180679222381</v>
      </c>
      <c r="I72" s="13">
        <v>285.88034610956913</v>
      </c>
      <c r="J72" s="4">
        <v>41.5</v>
      </c>
    </row>
    <row r="73" spans="1:10" x14ac:dyDescent="0.3">
      <c r="A73" s="1" t="s">
        <v>10</v>
      </c>
      <c r="B73" s="1" t="s">
        <v>165</v>
      </c>
      <c r="C73" s="1">
        <v>1.2</v>
      </c>
      <c r="D73" s="1">
        <v>85917476194.319901</v>
      </c>
      <c r="E73" s="1">
        <v>507588360.87580001</v>
      </c>
      <c r="F73" s="1">
        <v>429587380.9716</v>
      </c>
      <c r="G73" s="1">
        <v>2537.9418043999999</v>
      </c>
      <c r="H73" s="9">
        <v>13.622126489459649</v>
      </c>
      <c r="I73" s="13">
        <v>186.31025092622471</v>
      </c>
      <c r="J73" s="4">
        <v>60.5</v>
      </c>
    </row>
    <row r="74" spans="1:10" x14ac:dyDescent="0.3">
      <c r="A74" s="1" t="s">
        <v>10</v>
      </c>
      <c r="B74" s="1" t="s">
        <v>166</v>
      </c>
      <c r="C74" s="1">
        <v>0.2</v>
      </c>
      <c r="D74" s="1">
        <v>81835330848.638702</v>
      </c>
      <c r="E74" s="1">
        <v>494983154.67559999</v>
      </c>
      <c r="F74" s="1">
        <v>409176654.2432</v>
      </c>
      <c r="G74" s="1">
        <v>2474.9157734</v>
      </c>
      <c r="H74" s="9">
        <v>12.974906590664432</v>
      </c>
      <c r="I74" s="13">
        <v>190.74632685068619</v>
      </c>
      <c r="J74" s="4">
        <v>0</v>
      </c>
    </row>
    <row r="75" spans="1:10" x14ac:dyDescent="0.3">
      <c r="A75" s="1" t="s">
        <v>10</v>
      </c>
      <c r="B75" s="1" t="s">
        <v>167</v>
      </c>
      <c r="C75" s="1">
        <v>1.3</v>
      </c>
      <c r="D75" s="1">
        <v>85012821380.791</v>
      </c>
      <c r="E75" s="1">
        <v>463672057.99589998</v>
      </c>
      <c r="F75" s="1">
        <v>425064106.90399998</v>
      </c>
      <c r="G75" s="1">
        <v>2318.3602900000001</v>
      </c>
      <c r="H75" s="9">
        <v>13.478694409689085</v>
      </c>
      <c r="I75" s="13">
        <v>172.00184376414526</v>
      </c>
      <c r="J75" s="4">
        <v>58.5</v>
      </c>
    </row>
    <row r="76" spans="1:10" x14ac:dyDescent="0.3">
      <c r="A76" s="1" t="s">
        <v>10</v>
      </c>
      <c r="B76" s="1" t="s">
        <v>168</v>
      </c>
      <c r="C76" s="1">
        <v>1.2</v>
      </c>
      <c r="D76" s="1">
        <v>78145712545.942596</v>
      </c>
      <c r="E76" s="1">
        <v>448361914.12220001</v>
      </c>
      <c r="F76" s="1">
        <v>390728562.72970003</v>
      </c>
      <c r="G76" s="1">
        <v>2241.8095705999999</v>
      </c>
      <c r="H76" s="9">
        <v>12.389921446274512</v>
      </c>
      <c r="I76" s="13">
        <v>180.93815851222229</v>
      </c>
      <c r="J76" s="4">
        <v>56.5</v>
      </c>
    </row>
    <row r="77" spans="1:10" x14ac:dyDescent="0.3">
      <c r="A77" s="1" t="s">
        <v>9</v>
      </c>
      <c r="B77" s="1" t="s">
        <v>158</v>
      </c>
      <c r="C77" s="1">
        <v>1.3</v>
      </c>
      <c r="D77" s="1">
        <v>52803532066.544601</v>
      </c>
      <c r="E77" s="1">
        <v>376831449.31739998</v>
      </c>
      <c r="F77" s="1">
        <v>264017660.33270001</v>
      </c>
      <c r="G77" s="1">
        <v>1884.1572466</v>
      </c>
      <c r="H77" s="9">
        <v>8.3719450891908611</v>
      </c>
      <c r="I77" s="13">
        <v>225.05609228525191</v>
      </c>
      <c r="J77" s="4">
        <v>20.5</v>
      </c>
    </row>
    <row r="78" spans="1:10" x14ac:dyDescent="0.3">
      <c r="A78" s="1" t="s">
        <v>16</v>
      </c>
      <c r="B78" s="1" t="s">
        <v>169</v>
      </c>
      <c r="C78" s="1">
        <v>1</v>
      </c>
      <c r="D78" s="1">
        <v>47090586701.6464</v>
      </c>
      <c r="E78" s="1">
        <v>327412742.55629998</v>
      </c>
      <c r="F78" s="1">
        <v>235452933.50819999</v>
      </c>
      <c r="G78" s="1">
        <v>1637.0637128000001</v>
      </c>
      <c r="H78" s="9">
        <v>7.4661635435131917</v>
      </c>
      <c r="I78" s="13">
        <v>219.2643789891699</v>
      </c>
      <c r="J78" s="4">
        <v>27.5</v>
      </c>
    </row>
    <row r="79" spans="1:10" x14ac:dyDescent="0.3">
      <c r="A79" s="1" t="s">
        <v>39</v>
      </c>
      <c r="B79" s="1" t="s">
        <v>170</v>
      </c>
      <c r="C79" s="1">
        <v>3</v>
      </c>
      <c r="D79" s="1">
        <v>58785012459.830299</v>
      </c>
      <c r="E79" s="1">
        <v>302737149.71280003</v>
      </c>
      <c r="F79" s="1">
        <v>293925062.2992</v>
      </c>
      <c r="G79" s="1">
        <v>1513.6857485999999</v>
      </c>
      <c r="H79" s="9">
        <v>9.3203025843211407</v>
      </c>
      <c r="I79" s="13">
        <v>162.40736123163663</v>
      </c>
      <c r="J79" s="4">
        <v>56</v>
      </c>
    </row>
    <row r="80" spans="1:10" x14ac:dyDescent="0.3">
      <c r="A80" s="1" t="s">
        <v>9</v>
      </c>
      <c r="B80" s="1" t="s">
        <v>159</v>
      </c>
      <c r="C80" s="1">
        <v>1.5</v>
      </c>
      <c r="D80" s="1">
        <v>51794030763.580299</v>
      </c>
      <c r="E80" s="1">
        <v>289008228.5794</v>
      </c>
      <c r="F80" s="1">
        <v>258970153.8179</v>
      </c>
      <c r="G80" s="1">
        <v>1445.0411429000001</v>
      </c>
      <c r="H80" s="9">
        <v>8.2118897075691741</v>
      </c>
      <c r="I80" s="13">
        <v>175.96938029599414</v>
      </c>
      <c r="J80" s="4">
        <v>26.5</v>
      </c>
    </row>
    <row r="81" spans="1:10" x14ac:dyDescent="0.3">
      <c r="A81" s="1" t="s">
        <v>13</v>
      </c>
      <c r="B81" s="1" t="s">
        <v>171</v>
      </c>
      <c r="C81" s="1">
        <v>1.25</v>
      </c>
      <c r="D81" s="1">
        <v>62600384497.689003</v>
      </c>
      <c r="E81" s="1">
        <v>270211197.97079998</v>
      </c>
      <c r="F81" s="1">
        <v>313001922.48839998</v>
      </c>
      <c r="G81" s="1">
        <v>1351.0559899</v>
      </c>
      <c r="H81" s="9">
        <v>9.9252258526269976</v>
      </c>
      <c r="I81" s="13">
        <v>136.1234504847468</v>
      </c>
      <c r="J81" s="4">
        <v>55</v>
      </c>
    </row>
    <row r="82" spans="1:10" x14ac:dyDescent="0.3">
      <c r="A82" s="1" t="s">
        <v>15</v>
      </c>
      <c r="B82" s="1" t="s">
        <v>172</v>
      </c>
      <c r="C82" s="1">
        <v>1.25</v>
      </c>
      <c r="D82" s="1">
        <v>62031231287.269501</v>
      </c>
      <c r="E82" s="1">
        <v>264548133.5772</v>
      </c>
      <c r="F82" s="1">
        <v>310156156.43629998</v>
      </c>
      <c r="G82" s="1">
        <v>1322.7406679000001</v>
      </c>
      <c r="H82" s="9">
        <v>9.8349872030805265</v>
      </c>
      <c r="I82" s="13">
        <v>134.49337966456017</v>
      </c>
      <c r="J82" s="4">
        <v>56</v>
      </c>
    </row>
    <row r="83" spans="1:10" x14ac:dyDescent="0.3">
      <c r="A83" s="1" t="s">
        <v>10</v>
      </c>
      <c r="B83" s="1" t="s">
        <v>173</v>
      </c>
      <c r="C83" s="1">
        <v>1.3</v>
      </c>
      <c r="D83" s="1">
        <v>49100316133.316399</v>
      </c>
      <c r="E83" s="1">
        <v>260902166.1376</v>
      </c>
      <c r="F83" s="1">
        <v>245501580.66659999</v>
      </c>
      <c r="G83" s="1">
        <v>1304.5108307</v>
      </c>
      <c r="H83" s="9">
        <v>7.7848040546227164</v>
      </c>
      <c r="I83" s="13">
        <v>167.57144066142098</v>
      </c>
      <c r="J83" s="4">
        <v>23.5</v>
      </c>
    </row>
    <row r="84" spans="1:10" x14ac:dyDescent="0.3">
      <c r="A84" s="1" t="s">
        <v>14</v>
      </c>
      <c r="B84" s="1" t="s">
        <v>160</v>
      </c>
      <c r="C84" s="1">
        <v>1.25</v>
      </c>
      <c r="D84" s="1">
        <v>61511969787.616203</v>
      </c>
      <c r="E84" s="1">
        <v>259351685.25389999</v>
      </c>
      <c r="F84" s="1">
        <v>307559848.93809998</v>
      </c>
      <c r="G84" s="1">
        <v>1296.7584263000001</v>
      </c>
      <c r="H84" s="9">
        <v>9.7526588323846077</v>
      </c>
      <c r="I84" s="13">
        <v>132.96460468749234</v>
      </c>
      <c r="J84" s="4">
        <v>51</v>
      </c>
    </row>
    <row r="85" spans="1:10" x14ac:dyDescent="0.3">
      <c r="A85" s="1" t="s">
        <v>16</v>
      </c>
      <c r="B85" s="1" t="s">
        <v>174</v>
      </c>
      <c r="C85" s="1">
        <v>0.95</v>
      </c>
      <c r="D85" s="1">
        <v>59327570042.474899</v>
      </c>
      <c r="E85" s="1">
        <v>256017990.72260001</v>
      </c>
      <c r="F85" s="1">
        <v>296637850.21240002</v>
      </c>
      <c r="G85" s="1">
        <v>1280.0899535999999</v>
      </c>
      <c r="H85" s="9">
        <v>9.4063245247455125</v>
      </c>
      <c r="I85" s="13">
        <v>136.08821917981112</v>
      </c>
      <c r="J85" s="4">
        <v>24.5</v>
      </c>
    </row>
    <row r="86" spans="1:10" x14ac:dyDescent="0.3">
      <c r="A86" s="1" t="s">
        <v>39</v>
      </c>
      <c r="B86" s="1" t="s">
        <v>175</v>
      </c>
      <c r="C86" s="1">
        <v>2.5</v>
      </c>
      <c r="D86" s="1">
        <v>58731038075.344498</v>
      </c>
      <c r="E86" s="1">
        <v>255365250.0108</v>
      </c>
      <c r="F86" s="1">
        <v>293655190.37669998</v>
      </c>
      <c r="G86" s="1">
        <v>1276.8262500999999</v>
      </c>
      <c r="H86" s="9">
        <v>9.3117450017986592</v>
      </c>
      <c r="I86" s="13">
        <v>137.11997588565492</v>
      </c>
      <c r="J86" s="4">
        <v>53</v>
      </c>
    </row>
    <row r="87" spans="1:10" x14ac:dyDescent="0.3">
      <c r="A87" s="1" t="s">
        <v>40</v>
      </c>
      <c r="B87" s="1" t="s">
        <v>161</v>
      </c>
      <c r="C87" s="1">
        <v>0.95</v>
      </c>
      <c r="D87" s="1">
        <v>83179191289.245895</v>
      </c>
      <c r="E87" s="1">
        <v>234372479.46689999</v>
      </c>
      <c r="F87" s="1">
        <v>415895956.44620001</v>
      </c>
      <c r="G87" s="1">
        <v>1171.8623973000001</v>
      </c>
      <c r="H87" s="9">
        <v>13.187974265798752</v>
      </c>
      <c r="I87" s="13">
        <v>88.858407946629725</v>
      </c>
      <c r="J87" s="4">
        <v>33</v>
      </c>
    </row>
    <row r="88" spans="1:10" x14ac:dyDescent="0.3">
      <c r="A88" s="1" t="s">
        <v>10</v>
      </c>
      <c r="B88" s="1" t="s">
        <v>176</v>
      </c>
      <c r="C88" s="1">
        <v>1.3</v>
      </c>
      <c r="D88" s="1">
        <v>46460988713.809898</v>
      </c>
      <c r="E88" s="1">
        <v>230753662.63229999</v>
      </c>
      <c r="F88" s="1">
        <v>232304943.56900001</v>
      </c>
      <c r="G88" s="1">
        <v>1153.7683132</v>
      </c>
      <c r="H88" s="9">
        <v>7.3663414373747305</v>
      </c>
      <c r="I88" s="13">
        <v>156.62704790550521</v>
      </c>
      <c r="J88" s="4">
        <v>17.5</v>
      </c>
    </row>
    <row r="89" spans="1:10" x14ac:dyDescent="0.3">
      <c r="A89" s="1" t="s">
        <v>10</v>
      </c>
      <c r="B89" s="1" t="s">
        <v>177</v>
      </c>
      <c r="C89" s="1">
        <v>1.5</v>
      </c>
      <c r="D89" s="1">
        <v>49154004273.371803</v>
      </c>
      <c r="E89" s="1">
        <v>185941507.33629999</v>
      </c>
      <c r="F89" s="1">
        <v>245770021.3669</v>
      </c>
      <c r="G89" s="1">
        <v>929.70753670000011</v>
      </c>
      <c r="H89" s="9">
        <v>7.7933162533884772</v>
      </c>
      <c r="I89" s="13">
        <v>119.29549712495884</v>
      </c>
      <c r="J89" s="4">
        <v>16</v>
      </c>
    </row>
    <row r="90" spans="1:10" x14ac:dyDescent="0.3">
      <c r="A90" s="1" t="s">
        <v>13</v>
      </c>
      <c r="B90" s="1" t="s">
        <v>178</v>
      </c>
      <c r="C90" s="1">
        <v>1</v>
      </c>
      <c r="D90" s="1">
        <v>78011508830.055298</v>
      </c>
      <c r="E90" s="1">
        <v>182956139.82699999</v>
      </c>
      <c r="F90" s="1">
        <v>390057544.15030003</v>
      </c>
      <c r="G90" s="1">
        <v>914.78069909999999</v>
      </c>
      <c r="H90" s="9">
        <v>12.368643586703339</v>
      </c>
      <c r="I90" s="13">
        <v>73.959662002340863</v>
      </c>
      <c r="J90" s="4">
        <v>43</v>
      </c>
    </row>
    <row r="91" spans="1:10" x14ac:dyDescent="0.3">
      <c r="A91" s="1" t="s">
        <v>10</v>
      </c>
      <c r="B91" s="1" t="s">
        <v>179</v>
      </c>
      <c r="C91" s="1">
        <v>2</v>
      </c>
      <c r="D91" s="1">
        <v>36963208355.180397</v>
      </c>
      <c r="E91" s="1">
        <v>178773887.77289999</v>
      </c>
      <c r="F91" s="1">
        <v>184816041.77590001</v>
      </c>
      <c r="G91" s="1">
        <v>893.86943889999998</v>
      </c>
      <c r="H91" s="9">
        <v>5.8604782399765973</v>
      </c>
      <c r="I91" s="13">
        <v>152.52499920613465</v>
      </c>
      <c r="J91" s="4">
        <v>16</v>
      </c>
    </row>
    <row r="92" spans="1:10" x14ac:dyDescent="0.3">
      <c r="A92" s="1" t="s">
        <v>10</v>
      </c>
      <c r="B92" s="1" t="s">
        <v>180</v>
      </c>
      <c r="C92" s="1">
        <v>1.5</v>
      </c>
      <c r="D92" s="1">
        <v>48738936305.936897</v>
      </c>
      <c r="E92" s="1">
        <v>167810553.7538</v>
      </c>
      <c r="F92" s="1">
        <v>243694681.52970001</v>
      </c>
      <c r="G92" s="1">
        <v>839.05276879999997</v>
      </c>
      <c r="H92" s="9">
        <v>7.7275076588560534</v>
      </c>
      <c r="I92" s="13">
        <v>108.5799983437622</v>
      </c>
      <c r="J92" s="4">
        <v>13.5</v>
      </c>
    </row>
    <row r="93" spans="1:10" x14ac:dyDescent="0.3">
      <c r="A93" s="1" t="s">
        <v>38</v>
      </c>
      <c r="B93" s="1" t="s">
        <v>181</v>
      </c>
      <c r="C93" s="1">
        <v>0.95</v>
      </c>
      <c r="D93" s="1">
        <v>58270672751.566002</v>
      </c>
      <c r="E93" s="1">
        <v>150972793.3678</v>
      </c>
      <c r="F93" s="1">
        <v>291353363.75779998</v>
      </c>
      <c r="G93" s="1">
        <v>754.86396680000007</v>
      </c>
      <c r="H93" s="9">
        <v>9.2387545585308857</v>
      </c>
      <c r="I93" s="13">
        <v>81.706247526943272</v>
      </c>
      <c r="J93" s="4">
        <v>20</v>
      </c>
    </row>
    <row r="94" spans="1:10" x14ac:dyDescent="0.3">
      <c r="A94" s="1" t="s">
        <v>38</v>
      </c>
      <c r="B94" s="1" t="s">
        <v>182</v>
      </c>
      <c r="C94" s="1">
        <v>1.3</v>
      </c>
      <c r="D94" s="1">
        <v>45091438001.708099</v>
      </c>
      <c r="E94" s="1">
        <v>130437301.8601</v>
      </c>
      <c r="F94" s="1">
        <v>225457190.00850001</v>
      </c>
      <c r="G94" s="1">
        <v>652.18650930000001</v>
      </c>
      <c r="H94" s="9">
        <v>7.1492005964149064</v>
      </c>
      <c r="I94" s="13">
        <v>91.225095799808798</v>
      </c>
      <c r="J94" s="4">
        <v>15.5</v>
      </c>
    </row>
    <row r="95" spans="1:10" x14ac:dyDescent="0.3">
      <c r="A95" s="1" t="s">
        <v>38</v>
      </c>
      <c r="B95" s="1" t="s">
        <v>183</v>
      </c>
      <c r="C95" s="1">
        <v>1</v>
      </c>
      <c r="D95" s="1">
        <v>45392635663.937599</v>
      </c>
      <c r="E95" s="1">
        <v>113886585.71709999</v>
      </c>
      <c r="F95" s="1">
        <v>226963178.3197</v>
      </c>
      <c r="G95" s="1">
        <v>569.43292859999997</v>
      </c>
      <c r="H95" s="9">
        <v>7.196955172491375</v>
      </c>
      <c r="I95" s="13">
        <v>79.121366599102913</v>
      </c>
      <c r="J95" s="4">
        <v>17</v>
      </c>
    </row>
    <row r="96" spans="1:10" ht="92.25" customHeight="1" x14ac:dyDescent="0.3">
      <c r="A96" s="1" t="s">
        <v>38</v>
      </c>
      <c r="B96" s="1" t="s">
        <v>184</v>
      </c>
      <c r="C96" s="1">
        <v>1</v>
      </c>
      <c r="D96" s="1">
        <v>36644568846.7435</v>
      </c>
      <c r="E96" s="1">
        <v>95302171.473900005</v>
      </c>
      <c r="F96" s="1">
        <v>183222844.23370001</v>
      </c>
      <c r="G96" s="1">
        <v>476.51085740000002</v>
      </c>
      <c r="H96" s="9">
        <v>5.809958277324883</v>
      </c>
      <c r="I96" s="13">
        <v>82.016227080274845</v>
      </c>
      <c r="J96" s="4">
        <v>10</v>
      </c>
    </row>
    <row r="97" spans="1:14" ht="75.75" customHeight="1" x14ac:dyDescent="0.3">
      <c r="A97" s="25" t="s">
        <v>52</v>
      </c>
      <c r="B97" s="26"/>
      <c r="C97" s="26"/>
      <c r="D97" s="26"/>
      <c r="E97" s="26"/>
      <c r="F97" s="26"/>
      <c r="G97" s="26"/>
      <c r="H97" s="26"/>
      <c r="I97" s="26"/>
      <c r="J97" s="26"/>
    </row>
    <row r="98" spans="1:14" ht="45" customHeight="1" x14ac:dyDescent="0.3">
      <c r="A98" s="21" t="s">
        <v>6</v>
      </c>
      <c r="B98" s="22"/>
      <c r="C98" s="22"/>
      <c r="D98" s="22"/>
      <c r="E98" s="22"/>
      <c r="F98" s="22"/>
      <c r="G98" s="22"/>
      <c r="H98" s="22"/>
      <c r="I98" s="22"/>
      <c r="J98" s="22"/>
    </row>
    <row r="99" spans="1:14" ht="69.75" x14ac:dyDescent="0.3">
      <c r="A99" s="6" t="s">
        <v>4</v>
      </c>
      <c r="B99" s="2" t="s">
        <v>1</v>
      </c>
      <c r="C99" s="2" t="s">
        <v>7</v>
      </c>
      <c r="D99" s="2" t="s">
        <v>2</v>
      </c>
      <c r="E99" s="2" t="s">
        <v>3</v>
      </c>
      <c r="F99" s="2" t="s">
        <v>5</v>
      </c>
      <c r="G99" s="2" t="s">
        <v>0</v>
      </c>
      <c r="H99" s="8" t="s">
        <v>53</v>
      </c>
      <c r="I99" s="8" t="s">
        <v>56</v>
      </c>
      <c r="J99" s="8" t="s">
        <v>58</v>
      </c>
      <c r="K99" t="str">
        <f>ROUND(AVERAGE(G100:G156),2)&amp;"±"&amp;ROUND(_xlfn.STDEV.P(G100:G156),2)</f>
        <v>1287.04±913.8</v>
      </c>
      <c r="L99" t="str">
        <f>ROUND(AVERAGE(H100:H156),2)&amp;"±"&amp;ROUND(_xlfn.STDEV.P(H100:H156),2)</f>
        <v>8.46±3.98</v>
      </c>
      <c r="M99" t="str">
        <f>ROUND(AVERAGE(I100:I156),2)&amp;"±"&amp;ROUND(_xlfn.STDEV.P(I100:I156),2)</f>
        <v>190.19±148.83</v>
      </c>
      <c r="N99" t="str">
        <f>ROUND(AVERAGE(J100:J156),2)&amp;"±"&amp;ROUND(_xlfn.STDEV.P(J100:J156),2)</f>
        <v>85.84±11.8</v>
      </c>
    </row>
    <row r="100" spans="1:14" x14ac:dyDescent="0.3">
      <c r="A100" s="7" t="s">
        <v>45</v>
      </c>
      <c r="B100" s="7" t="s">
        <v>93</v>
      </c>
      <c r="C100" s="4">
        <v>3</v>
      </c>
      <c r="D100" s="4">
        <v>50785496071.957802</v>
      </c>
      <c r="E100" s="4">
        <v>1008390616.240249</v>
      </c>
      <c r="F100" s="4">
        <v>253927480.35980001</v>
      </c>
      <c r="G100" s="4">
        <v>5041.9530812012454</v>
      </c>
      <c r="H100" s="11">
        <v>8.0519875811703763</v>
      </c>
      <c r="I100" s="13">
        <v>626.17496989089807</v>
      </c>
      <c r="J100">
        <v>98.5</v>
      </c>
    </row>
    <row r="101" spans="1:14" x14ac:dyDescent="0.3">
      <c r="A101" s="7" t="s">
        <v>33</v>
      </c>
      <c r="B101" s="7" t="s">
        <v>129</v>
      </c>
      <c r="C101" s="4">
        <v>1</v>
      </c>
      <c r="D101" s="4">
        <v>97695189258.182297</v>
      </c>
      <c r="E101" s="4">
        <v>747255012.721874</v>
      </c>
      <c r="F101" s="4">
        <v>488475946.29089999</v>
      </c>
      <c r="G101" s="4">
        <v>3736.2750636093701</v>
      </c>
      <c r="H101" s="11">
        <v>15.489470645957367</v>
      </c>
      <c r="I101" s="13">
        <v>241.21386385689749</v>
      </c>
      <c r="J101">
        <v>95</v>
      </c>
    </row>
    <row r="102" spans="1:14" x14ac:dyDescent="0.3">
      <c r="A102" s="7" t="s">
        <v>33</v>
      </c>
      <c r="B102" s="7" t="s">
        <v>132</v>
      </c>
      <c r="C102" s="4">
        <v>1.5</v>
      </c>
      <c r="D102" s="4">
        <v>65660915188.168404</v>
      </c>
      <c r="E102" s="4">
        <v>578054080.97379291</v>
      </c>
      <c r="F102" s="4">
        <v>328304575.94080001</v>
      </c>
      <c r="G102" s="4">
        <v>2890.2704048689648</v>
      </c>
      <c r="H102" s="11">
        <v>10.410469810402144</v>
      </c>
      <c r="I102" s="13">
        <v>277.63112112202714</v>
      </c>
      <c r="J102">
        <v>87.5</v>
      </c>
    </row>
    <row r="103" spans="1:14" x14ac:dyDescent="0.3">
      <c r="A103" s="7" t="s">
        <v>11</v>
      </c>
      <c r="B103" s="7" t="s">
        <v>136</v>
      </c>
      <c r="C103" s="4">
        <v>3</v>
      </c>
      <c r="D103" s="4">
        <v>65900676748.950699</v>
      </c>
      <c r="E103" s="4">
        <v>567615155.31318009</v>
      </c>
      <c r="F103" s="4">
        <v>329503383.74479997</v>
      </c>
      <c r="G103" s="4">
        <v>2838.0757765659</v>
      </c>
      <c r="H103" s="11">
        <v>10.44848375649269</v>
      </c>
      <c r="I103" s="13">
        <v>271.6256102520444</v>
      </c>
      <c r="J103">
        <v>78.5</v>
      </c>
    </row>
    <row r="104" spans="1:14" x14ac:dyDescent="0.3">
      <c r="A104" s="7" t="s">
        <v>12</v>
      </c>
      <c r="B104" s="7" t="s">
        <v>96</v>
      </c>
      <c r="C104" s="4">
        <v>3</v>
      </c>
      <c r="D104" s="4">
        <v>69395257973.9151</v>
      </c>
      <c r="E104" s="4">
        <v>557241056.09655607</v>
      </c>
      <c r="F104" s="4">
        <v>346976289.8696</v>
      </c>
      <c r="G104" s="4">
        <v>2786.2052804827799</v>
      </c>
      <c r="H104" s="11">
        <v>11.002545975062644</v>
      </c>
      <c r="I104" s="13">
        <v>253.23277783139793</v>
      </c>
      <c r="J104">
        <v>87</v>
      </c>
    </row>
    <row r="105" spans="1:14" x14ac:dyDescent="0.3">
      <c r="A105" s="7" t="s">
        <v>30</v>
      </c>
      <c r="B105" s="7" t="s">
        <v>97</v>
      </c>
      <c r="C105" s="4">
        <v>2</v>
      </c>
      <c r="D105" s="4">
        <v>51415066549.1931</v>
      </c>
      <c r="E105" s="4">
        <v>550479170.86916602</v>
      </c>
      <c r="F105" s="4">
        <v>257075332.74599999</v>
      </c>
      <c r="G105" s="4">
        <v>2752.3958543458302</v>
      </c>
      <c r="H105" s="11">
        <v>8.1518053255316314</v>
      </c>
      <c r="I105" s="13">
        <v>337.64249076523782</v>
      </c>
      <c r="J105">
        <v>62.5</v>
      </c>
    </row>
    <row r="106" spans="1:14" x14ac:dyDescent="0.3">
      <c r="A106" s="7" t="s">
        <v>11</v>
      </c>
      <c r="B106" s="7" t="s">
        <v>131</v>
      </c>
      <c r="C106" s="4">
        <v>1.5</v>
      </c>
      <c r="D106" s="4">
        <v>76549428758.818298</v>
      </c>
      <c r="E106" s="4">
        <v>539821511.01757097</v>
      </c>
      <c r="F106" s="4">
        <v>382747143.79409999</v>
      </c>
      <c r="G106" s="4">
        <v>2699.107555087855</v>
      </c>
      <c r="H106" s="11">
        <v>12.136832312090673</v>
      </c>
      <c r="I106" s="13">
        <v>222.38978719340241</v>
      </c>
      <c r="J106">
        <v>75</v>
      </c>
    </row>
    <row r="107" spans="1:14" x14ac:dyDescent="0.3">
      <c r="A107" s="7" t="s">
        <v>11</v>
      </c>
      <c r="B107" s="7" t="s">
        <v>135</v>
      </c>
      <c r="C107" s="4">
        <v>8</v>
      </c>
      <c r="D107" s="4">
        <v>27080181395.567402</v>
      </c>
      <c r="E107" s="4">
        <v>507824902.45357496</v>
      </c>
      <c r="F107" s="4">
        <v>135400906.97780001</v>
      </c>
      <c r="G107" s="4">
        <v>2539.1245122678747</v>
      </c>
      <c r="H107" s="11">
        <v>4.2935345946802705</v>
      </c>
      <c r="I107" s="13">
        <v>591.38326622868578</v>
      </c>
      <c r="J107">
        <v>95.5</v>
      </c>
    </row>
    <row r="108" spans="1:14" x14ac:dyDescent="0.3">
      <c r="A108" s="7" t="s">
        <v>29</v>
      </c>
      <c r="B108" s="7" t="s">
        <v>133</v>
      </c>
      <c r="C108" s="4">
        <v>3</v>
      </c>
      <c r="D108" s="4">
        <v>45160816177.623299</v>
      </c>
      <c r="E108" s="4">
        <v>494785823.49778497</v>
      </c>
      <c r="F108" s="4">
        <v>225804080.8881</v>
      </c>
      <c r="G108" s="4">
        <v>2473.9291174889249</v>
      </c>
      <c r="H108" s="11">
        <v>7.1602004340473266</v>
      </c>
      <c r="I108" s="13">
        <v>345.5111543700919</v>
      </c>
      <c r="J108">
        <v>87.5</v>
      </c>
    </row>
    <row r="109" spans="1:14" x14ac:dyDescent="0.3">
      <c r="A109" s="7" t="s">
        <v>12</v>
      </c>
      <c r="B109" s="7" t="s">
        <v>103</v>
      </c>
      <c r="C109" s="4">
        <v>1.5</v>
      </c>
      <c r="D109" s="4">
        <v>75454327564.561401</v>
      </c>
      <c r="E109" s="4">
        <v>414314893.87276995</v>
      </c>
      <c r="F109" s="4">
        <v>377271637.82279998</v>
      </c>
      <c r="G109" s="4">
        <v>2071.5744693638499</v>
      </c>
      <c r="H109" s="11">
        <v>11.963205156735382</v>
      </c>
      <c r="I109" s="13">
        <v>173.16216199782684</v>
      </c>
      <c r="J109">
        <v>90.5</v>
      </c>
    </row>
    <row r="110" spans="1:14" x14ac:dyDescent="0.3">
      <c r="A110" s="7" t="s">
        <v>28</v>
      </c>
      <c r="B110" s="7" t="s">
        <v>95</v>
      </c>
      <c r="C110" s="4">
        <v>21</v>
      </c>
      <c r="D110" s="4">
        <v>15912284479.501101</v>
      </c>
      <c r="E110" s="4">
        <v>360248737.75849396</v>
      </c>
      <c r="F110" s="4">
        <v>79561422.397499993</v>
      </c>
      <c r="G110" s="4">
        <v>1801.24368879247</v>
      </c>
      <c r="H110" s="11">
        <v>2.5228761541573284</v>
      </c>
      <c r="I110" s="13">
        <v>713.96437190318898</v>
      </c>
      <c r="J110">
        <v>99</v>
      </c>
    </row>
    <row r="111" spans="1:14" x14ac:dyDescent="0.3">
      <c r="A111" s="7" t="s">
        <v>34</v>
      </c>
      <c r="B111" s="7" t="s">
        <v>102</v>
      </c>
      <c r="C111" s="4">
        <v>1.5</v>
      </c>
      <c r="D111" s="4">
        <v>68013075023.353897</v>
      </c>
      <c r="E111" s="4">
        <v>348701802.06718403</v>
      </c>
      <c r="F111" s="4">
        <v>340065375.11680001</v>
      </c>
      <c r="G111" s="4">
        <v>1743.50901033592</v>
      </c>
      <c r="H111" s="11">
        <v>10.783402305833635</v>
      </c>
      <c r="I111" s="13">
        <v>161.6845000202498</v>
      </c>
      <c r="J111">
        <v>92</v>
      </c>
    </row>
    <row r="112" spans="1:14" x14ac:dyDescent="0.3">
      <c r="A112" s="7" t="s">
        <v>12</v>
      </c>
      <c r="B112" s="7" t="s">
        <v>107</v>
      </c>
      <c r="C112" s="4">
        <v>5</v>
      </c>
      <c r="D112" s="4">
        <v>34582785102.392303</v>
      </c>
      <c r="E112" s="4">
        <v>327198124.822321</v>
      </c>
      <c r="F112" s="4">
        <v>172913925.51199999</v>
      </c>
      <c r="G112" s="4">
        <v>1635.990624111605</v>
      </c>
      <c r="H112" s="11">
        <v>5.483064609080464</v>
      </c>
      <c r="I112" s="13">
        <v>298.37157515931011</v>
      </c>
      <c r="J112">
        <v>85</v>
      </c>
    </row>
    <row r="113" spans="1:10" x14ac:dyDescent="0.3">
      <c r="A113" s="7" t="s">
        <v>34</v>
      </c>
      <c r="B113" s="7" t="s">
        <v>112</v>
      </c>
      <c r="C113" s="4">
        <v>2</v>
      </c>
      <c r="D113" s="4">
        <v>69816325046.613098</v>
      </c>
      <c r="E113" s="4">
        <v>313870256.36389703</v>
      </c>
      <c r="F113" s="4">
        <v>349081625.2331</v>
      </c>
      <c r="G113" s="4">
        <v>1569.3512818194849</v>
      </c>
      <c r="H113" s="11">
        <v>11.069305721494974</v>
      </c>
      <c r="I113" s="13">
        <v>141.77504184133556</v>
      </c>
      <c r="J113">
        <v>97</v>
      </c>
    </row>
    <row r="114" spans="1:10" x14ac:dyDescent="0.3">
      <c r="A114" s="7" t="s">
        <v>11</v>
      </c>
      <c r="B114" s="7" t="s">
        <v>139</v>
      </c>
      <c r="C114" s="4">
        <v>5.5</v>
      </c>
      <c r="D114" s="4">
        <v>36262251152.137802</v>
      </c>
      <c r="E114" s="4">
        <v>311020051.09090793</v>
      </c>
      <c r="F114" s="4">
        <v>181311255.76069999</v>
      </c>
      <c r="G114" s="4">
        <v>1555.1002554545398</v>
      </c>
      <c r="H114" s="11">
        <v>5.7493422044865872</v>
      </c>
      <c r="I114" s="13">
        <v>270.48316140253291</v>
      </c>
      <c r="J114">
        <v>86.5</v>
      </c>
    </row>
    <row r="115" spans="1:10" x14ac:dyDescent="0.3">
      <c r="A115" s="7" t="s">
        <v>34</v>
      </c>
      <c r="B115" s="7" t="s">
        <v>114</v>
      </c>
      <c r="C115" s="4">
        <v>1</v>
      </c>
      <c r="D115" s="4">
        <v>73720143805.756897</v>
      </c>
      <c r="E115" s="4">
        <v>306231464.92662001</v>
      </c>
      <c r="F115" s="4">
        <v>368600719.02880001</v>
      </c>
      <c r="G115" s="4">
        <v>1531.1573246331</v>
      </c>
      <c r="H115" s="11">
        <v>11.688252125468813</v>
      </c>
      <c r="I115" s="13">
        <v>130.99968311743496</v>
      </c>
      <c r="J115">
        <v>82.5</v>
      </c>
    </row>
    <row r="116" spans="1:10" x14ac:dyDescent="0.3">
      <c r="A116" s="7" t="s">
        <v>12</v>
      </c>
      <c r="B116" s="7" t="s">
        <v>99</v>
      </c>
      <c r="C116" s="4">
        <v>8</v>
      </c>
      <c r="D116" s="4">
        <v>27314982183.4118</v>
      </c>
      <c r="E116" s="4">
        <v>298203140.76524299</v>
      </c>
      <c r="F116" s="4">
        <v>136574910.91710001</v>
      </c>
      <c r="G116" s="4">
        <v>1491.015703826215</v>
      </c>
      <c r="H116" s="11">
        <v>4.3307620153811204</v>
      </c>
      <c r="I116" s="13">
        <v>344.2848391416403</v>
      </c>
      <c r="J116">
        <v>95.5</v>
      </c>
    </row>
    <row r="117" spans="1:10" x14ac:dyDescent="0.3">
      <c r="A117" s="7" t="s">
        <v>43</v>
      </c>
      <c r="B117" s="7" t="s">
        <v>142</v>
      </c>
      <c r="C117" s="4">
        <v>3</v>
      </c>
      <c r="D117" s="4">
        <v>68486988119.788498</v>
      </c>
      <c r="E117" s="4">
        <v>265317213.12302002</v>
      </c>
      <c r="F117" s="4">
        <v>342434940.59890002</v>
      </c>
      <c r="G117" s="4">
        <v>1326.5860656151001</v>
      </c>
      <c r="H117" s="11">
        <v>10.858540734365249</v>
      </c>
      <c r="I117" s="13">
        <v>122.16982908363585</v>
      </c>
      <c r="J117">
        <v>82</v>
      </c>
    </row>
    <row r="118" spans="1:10" x14ac:dyDescent="0.3">
      <c r="A118" s="7" t="s">
        <v>42</v>
      </c>
      <c r="B118" s="7" t="s">
        <v>141</v>
      </c>
      <c r="C118" s="4">
        <v>15</v>
      </c>
      <c r="D118" s="4">
        <v>21443403319.889702</v>
      </c>
      <c r="E118" s="4">
        <v>260057740.354361</v>
      </c>
      <c r="F118" s="4">
        <v>107217016.5994</v>
      </c>
      <c r="G118" s="4">
        <v>1300.2887017718051</v>
      </c>
      <c r="H118" s="11">
        <v>3.3998292934883469</v>
      </c>
      <c r="I118" s="13">
        <v>382.4570557887223</v>
      </c>
      <c r="J118">
        <v>99</v>
      </c>
    </row>
    <row r="119" spans="1:10" x14ac:dyDescent="0.3">
      <c r="A119" s="7" t="s">
        <v>44</v>
      </c>
      <c r="B119" s="7" t="s">
        <v>111</v>
      </c>
      <c r="C119" s="4">
        <v>10</v>
      </c>
      <c r="D119" s="4">
        <v>21855934556.075001</v>
      </c>
      <c r="E119" s="4">
        <v>250892315.68740097</v>
      </c>
      <c r="F119" s="4">
        <v>109279672.78039999</v>
      </c>
      <c r="G119" s="4">
        <v>1254.4615784370048</v>
      </c>
      <c r="H119" s="11">
        <v>3.4652356919195522</v>
      </c>
      <c r="I119" s="13">
        <v>362.01334915320041</v>
      </c>
      <c r="J119">
        <v>83.5</v>
      </c>
    </row>
    <row r="120" spans="1:10" x14ac:dyDescent="0.3">
      <c r="A120" s="7" t="s">
        <v>29</v>
      </c>
      <c r="B120" s="7" t="s">
        <v>140</v>
      </c>
      <c r="C120" s="4">
        <v>2</v>
      </c>
      <c r="D120" s="4">
        <v>18066496643.072399</v>
      </c>
      <c r="E120" s="4">
        <v>247887167.14049199</v>
      </c>
      <c r="F120" s="4">
        <v>90332483.215399995</v>
      </c>
      <c r="G120" s="4">
        <v>1239.4358357024601</v>
      </c>
      <c r="H120" s="11">
        <v>2.8644242521360348</v>
      </c>
      <c r="I120" s="13">
        <v>432.69981210995479</v>
      </c>
      <c r="J120">
        <v>89.5</v>
      </c>
    </row>
    <row r="121" spans="1:10" x14ac:dyDescent="0.3">
      <c r="A121" s="7" t="s">
        <v>33</v>
      </c>
      <c r="B121" s="7" t="s">
        <v>130</v>
      </c>
      <c r="C121" s="4">
        <v>7.6</v>
      </c>
      <c r="D121" s="4">
        <v>31572336511.263802</v>
      </c>
      <c r="E121" s="4">
        <v>238057179.40342</v>
      </c>
      <c r="F121" s="4">
        <v>157861682.55630001</v>
      </c>
      <c r="G121" s="4">
        <v>1190.2858970171001</v>
      </c>
      <c r="H121" s="11">
        <v>5.005761116067954</v>
      </c>
      <c r="I121" s="13">
        <v>237.78320008048536</v>
      </c>
      <c r="J121">
        <v>95.5</v>
      </c>
    </row>
    <row r="122" spans="1:10" x14ac:dyDescent="0.3">
      <c r="A122" s="7" t="s">
        <v>33</v>
      </c>
      <c r="B122" s="7" t="s">
        <v>134</v>
      </c>
      <c r="C122" s="4">
        <v>4.3</v>
      </c>
      <c r="D122" s="4">
        <v>43395372705.899902</v>
      </c>
      <c r="E122" s="4">
        <v>232694277.38397899</v>
      </c>
      <c r="F122" s="4">
        <v>216976863.52950001</v>
      </c>
      <c r="G122" s="4">
        <v>1163.4713869198949</v>
      </c>
      <c r="H122" s="11">
        <v>6.8802912078101066</v>
      </c>
      <c r="I122" s="13">
        <v>169.10205568031625</v>
      </c>
      <c r="J122">
        <v>93.5</v>
      </c>
    </row>
    <row r="123" spans="1:10" x14ac:dyDescent="0.3">
      <c r="A123" s="7" t="s">
        <v>29</v>
      </c>
      <c r="B123" s="7" t="s">
        <v>137</v>
      </c>
      <c r="C123" s="4">
        <v>2</v>
      </c>
      <c r="D123" s="4">
        <v>57229291399.684898</v>
      </c>
      <c r="E123" s="4">
        <v>219723280.00171801</v>
      </c>
      <c r="F123" s="4">
        <v>286146456.99839997</v>
      </c>
      <c r="G123" s="4">
        <v>1098.6164000085901</v>
      </c>
      <c r="H123" s="11">
        <v>9.0736446283112784</v>
      </c>
      <c r="I123" s="13">
        <v>121.07774163655522</v>
      </c>
      <c r="J123">
        <v>85</v>
      </c>
    </row>
    <row r="124" spans="1:10" x14ac:dyDescent="0.3">
      <c r="A124" s="7" t="s">
        <v>34</v>
      </c>
      <c r="B124" s="7" t="s">
        <v>101</v>
      </c>
      <c r="C124" s="4">
        <v>4.3</v>
      </c>
      <c r="D124" s="4">
        <v>44027610595.333603</v>
      </c>
      <c r="E124" s="4">
        <v>206713169.44580501</v>
      </c>
      <c r="F124" s="4">
        <v>220138052.97670001</v>
      </c>
      <c r="G124" s="4">
        <v>1033.5658472290252</v>
      </c>
      <c r="H124" s="11">
        <v>6.9805318676010915</v>
      </c>
      <c r="I124" s="13">
        <v>148.06405397647978</v>
      </c>
      <c r="J124">
        <v>94</v>
      </c>
    </row>
    <row r="125" spans="1:10" x14ac:dyDescent="0.3">
      <c r="A125" s="7" t="s">
        <v>34</v>
      </c>
      <c r="B125" s="7" t="s">
        <v>116</v>
      </c>
      <c r="C125" s="4">
        <v>1</v>
      </c>
      <c r="D125" s="4">
        <v>95713306331.730301</v>
      </c>
      <c r="E125" s="4">
        <v>197596066.048114</v>
      </c>
      <c r="F125" s="4">
        <v>478566531.65869999</v>
      </c>
      <c r="G125" s="4">
        <v>987.98033024057008</v>
      </c>
      <c r="H125" s="11">
        <v>15.175245169287528</v>
      </c>
      <c r="I125" s="13">
        <v>65.104735984107691</v>
      </c>
      <c r="J125">
        <v>92.5</v>
      </c>
    </row>
    <row r="126" spans="1:10" x14ac:dyDescent="0.3">
      <c r="A126" s="7" t="s">
        <v>34</v>
      </c>
      <c r="B126" s="7" t="s">
        <v>110</v>
      </c>
      <c r="C126" s="4">
        <v>18</v>
      </c>
      <c r="D126" s="4">
        <v>19171384375.631901</v>
      </c>
      <c r="E126" s="4">
        <v>193913980.33263099</v>
      </c>
      <c r="F126" s="4">
        <v>95856921.878199995</v>
      </c>
      <c r="G126" s="4">
        <v>969.56990166315495</v>
      </c>
      <c r="H126" s="11">
        <v>3.0396030529604103</v>
      </c>
      <c r="I126" s="13">
        <v>318.97911824994577</v>
      </c>
      <c r="J126">
        <v>96.5</v>
      </c>
    </row>
    <row r="127" spans="1:10" x14ac:dyDescent="0.3">
      <c r="A127" s="7" t="s">
        <v>12</v>
      </c>
      <c r="B127" s="7" t="s">
        <v>115</v>
      </c>
      <c r="C127" s="4">
        <v>1</v>
      </c>
      <c r="D127" s="4">
        <v>80687257785.184799</v>
      </c>
      <c r="E127" s="4">
        <v>185721346.60907599</v>
      </c>
      <c r="F127" s="4">
        <v>403436288.92589998</v>
      </c>
      <c r="G127" s="4">
        <v>928.60673304538</v>
      </c>
      <c r="H127" s="11">
        <v>12.792880800542997</v>
      </c>
      <c r="I127" s="13">
        <v>72.587773428324681</v>
      </c>
      <c r="J127">
        <v>83</v>
      </c>
    </row>
    <row r="128" spans="1:10" x14ac:dyDescent="0.3">
      <c r="A128" s="7" t="s">
        <v>41</v>
      </c>
      <c r="B128" s="7" t="s">
        <v>106</v>
      </c>
      <c r="C128" s="4">
        <v>15</v>
      </c>
      <c r="D128" s="4">
        <v>21439333782.492298</v>
      </c>
      <c r="E128" s="4">
        <v>183844364.10335603</v>
      </c>
      <c r="F128" s="4">
        <v>107196668.91249999</v>
      </c>
      <c r="G128" s="4">
        <v>919.2218205167801</v>
      </c>
      <c r="H128" s="11">
        <v>3.399184072566638</v>
      </c>
      <c r="I128" s="13">
        <v>270.42425502502988</v>
      </c>
      <c r="J128">
        <v>97.5</v>
      </c>
    </row>
    <row r="129" spans="1:10" x14ac:dyDescent="0.3">
      <c r="A129" s="7" t="s">
        <v>11</v>
      </c>
      <c r="B129" s="7" t="s">
        <v>138</v>
      </c>
      <c r="C129" s="4">
        <v>3.5</v>
      </c>
      <c r="D129" s="4">
        <v>49704985581.2649</v>
      </c>
      <c r="E129" s="4">
        <v>180834209.28597298</v>
      </c>
      <c r="F129" s="4">
        <v>248524927.90630001</v>
      </c>
      <c r="G129" s="4">
        <v>904.17104642986499</v>
      </c>
      <c r="H129" s="11">
        <v>7.8806737666896405</v>
      </c>
      <c r="I129" s="13">
        <v>114.73270854728852</v>
      </c>
      <c r="J129">
        <v>96</v>
      </c>
    </row>
    <row r="130" spans="1:10" x14ac:dyDescent="0.3">
      <c r="A130" s="7" t="s">
        <v>34</v>
      </c>
      <c r="B130" s="7" t="s">
        <v>98</v>
      </c>
      <c r="C130" s="4">
        <v>8.6</v>
      </c>
      <c r="D130" s="4">
        <v>29612380154.7896</v>
      </c>
      <c r="E130" s="4">
        <v>179680195.86851901</v>
      </c>
      <c r="F130" s="4">
        <v>148061900.7739</v>
      </c>
      <c r="G130" s="4">
        <v>898.40097934259506</v>
      </c>
      <c r="H130" s="11">
        <v>4.6950120742626842</v>
      </c>
      <c r="I130" s="13">
        <v>191.35221914923022</v>
      </c>
      <c r="J130">
        <v>98.5</v>
      </c>
    </row>
    <row r="131" spans="1:10" x14ac:dyDescent="0.3">
      <c r="A131" s="7" t="s">
        <v>12</v>
      </c>
      <c r="B131" s="7" t="s">
        <v>113</v>
      </c>
      <c r="C131" s="4">
        <v>1.5</v>
      </c>
      <c r="D131" s="4">
        <v>71259678039.601303</v>
      </c>
      <c r="E131" s="4">
        <v>173168047.81477201</v>
      </c>
      <c r="F131" s="4">
        <v>356298390.19800001</v>
      </c>
      <c r="G131" s="4">
        <v>865.84023907385995</v>
      </c>
      <c r="H131" s="11">
        <v>11.298147837328974</v>
      </c>
      <c r="I131" s="13">
        <v>76.635591208421957</v>
      </c>
      <c r="J131">
        <v>86.5</v>
      </c>
    </row>
    <row r="132" spans="1:10" x14ac:dyDescent="0.3">
      <c r="A132" s="7" t="s">
        <v>33</v>
      </c>
      <c r="B132" s="7" t="s">
        <v>144</v>
      </c>
      <c r="C132" s="4">
        <v>1</v>
      </c>
      <c r="D132" s="4">
        <v>81001719612.3293</v>
      </c>
      <c r="E132" s="4">
        <v>165681435.06558198</v>
      </c>
      <c r="F132" s="4">
        <v>405008598.06160003</v>
      </c>
      <c r="G132" s="4">
        <v>828.40717532790995</v>
      </c>
      <c r="H132" s="11">
        <v>12.842738396170931</v>
      </c>
      <c r="I132" s="13">
        <v>64.50393598104435</v>
      </c>
      <c r="J132">
        <v>75.5</v>
      </c>
    </row>
    <row r="133" spans="1:10" x14ac:dyDescent="0.3">
      <c r="A133" s="7" t="s">
        <v>34</v>
      </c>
      <c r="B133" s="7" t="s">
        <v>104</v>
      </c>
      <c r="C133" s="4">
        <v>7.6</v>
      </c>
      <c r="D133" s="4">
        <v>31946672319.452702</v>
      </c>
      <c r="E133" s="4">
        <v>163201428.55993599</v>
      </c>
      <c r="F133" s="4">
        <v>159733361.59729999</v>
      </c>
      <c r="G133" s="4">
        <v>816.00714279967997</v>
      </c>
      <c r="H133" s="11">
        <v>5.0651116691166767</v>
      </c>
      <c r="I133" s="13">
        <v>161.10348519561592</v>
      </c>
      <c r="J133">
        <v>98</v>
      </c>
    </row>
    <row r="134" spans="1:10" x14ac:dyDescent="0.3">
      <c r="A134" s="7" t="s">
        <v>34</v>
      </c>
      <c r="B134" s="7" t="s">
        <v>105</v>
      </c>
      <c r="C134" s="4">
        <v>1.5</v>
      </c>
      <c r="D134" s="4">
        <v>74974180099.538803</v>
      </c>
      <c r="E134" s="4">
        <v>156852110.21853402</v>
      </c>
      <c r="F134" s="4">
        <v>374870900.49769998</v>
      </c>
      <c r="G134" s="4">
        <v>784.26055109267008</v>
      </c>
      <c r="H134" s="11">
        <v>11.88707827554839</v>
      </c>
      <c r="I134" s="13">
        <v>65.975888516346927</v>
      </c>
      <c r="J134">
        <v>94.5</v>
      </c>
    </row>
    <row r="135" spans="1:10" x14ac:dyDescent="0.3">
      <c r="A135" s="7" t="s">
        <v>31</v>
      </c>
      <c r="B135" s="7" t="s">
        <v>143</v>
      </c>
      <c r="C135" s="4">
        <v>3</v>
      </c>
      <c r="D135" s="4">
        <v>44856727409.506599</v>
      </c>
      <c r="E135" s="4">
        <v>154673324.80547899</v>
      </c>
      <c r="F135" s="4">
        <v>224283637.04750001</v>
      </c>
      <c r="G135" s="4">
        <v>773.36662402739501</v>
      </c>
      <c r="H135" s="11">
        <v>7.1119874761394275</v>
      </c>
      <c r="I135" s="13">
        <v>108.74128035545959</v>
      </c>
      <c r="J135">
        <v>91</v>
      </c>
    </row>
    <row r="136" spans="1:10" x14ac:dyDescent="0.3">
      <c r="A136" s="7" t="s">
        <v>45</v>
      </c>
      <c r="B136" s="7" t="s">
        <v>108</v>
      </c>
      <c r="C136" s="4">
        <v>1.5</v>
      </c>
      <c r="D136" s="4">
        <v>79147308753.007294</v>
      </c>
      <c r="E136" s="4">
        <v>152475468.61992401</v>
      </c>
      <c r="F136" s="4">
        <v>395736543.76499999</v>
      </c>
      <c r="G136" s="4">
        <v>762.37734309962002</v>
      </c>
      <c r="H136" s="11">
        <v>12.548723483163258</v>
      </c>
      <c r="I136" s="13">
        <v>60.753378152168942</v>
      </c>
      <c r="J136">
        <v>84</v>
      </c>
    </row>
    <row r="137" spans="1:10" x14ac:dyDescent="0.3">
      <c r="A137" s="7" t="s">
        <v>33</v>
      </c>
      <c r="B137" s="7" t="s">
        <v>145</v>
      </c>
      <c r="C137" s="4">
        <v>18</v>
      </c>
      <c r="D137" s="4">
        <v>18906942660.164799</v>
      </c>
      <c r="E137" s="4">
        <v>151538153.05178002</v>
      </c>
      <c r="F137" s="4">
        <v>94534713.300799996</v>
      </c>
      <c r="G137" s="4">
        <v>757.6907652589</v>
      </c>
      <c r="H137" s="11">
        <v>2.997676094013952</v>
      </c>
      <c r="I137" s="13">
        <v>252.75938476873128</v>
      </c>
      <c r="J137">
        <v>99</v>
      </c>
    </row>
    <row r="138" spans="1:10" x14ac:dyDescent="0.3">
      <c r="A138" s="7" t="s">
        <v>31</v>
      </c>
      <c r="B138" s="7" t="s">
        <v>146</v>
      </c>
      <c r="C138" s="4">
        <v>1</v>
      </c>
      <c r="D138" s="4">
        <v>84693697210.974701</v>
      </c>
      <c r="E138" s="4">
        <v>147829512.04982302</v>
      </c>
      <c r="F138" s="4">
        <v>423468486.05489999</v>
      </c>
      <c r="G138" s="4">
        <v>739.14756024911503</v>
      </c>
      <c r="H138" s="11">
        <v>13.428097604479753</v>
      </c>
      <c r="I138" s="13">
        <v>55.044845667678771</v>
      </c>
      <c r="J138">
        <v>87</v>
      </c>
    </row>
    <row r="139" spans="1:10" x14ac:dyDescent="0.3">
      <c r="A139" s="7" t="s">
        <v>12</v>
      </c>
      <c r="B139" s="7" t="s">
        <v>100</v>
      </c>
      <c r="C139" s="4">
        <v>5.5</v>
      </c>
      <c r="D139" s="4">
        <v>37663421452.673302</v>
      </c>
      <c r="E139" s="4">
        <v>144978422.83492702</v>
      </c>
      <c r="F139" s="4">
        <v>188317107.26339999</v>
      </c>
      <c r="G139" s="4">
        <v>724.89211417463503</v>
      </c>
      <c r="H139" s="11">
        <v>5.9714962983056354</v>
      </c>
      <c r="I139" s="13">
        <v>121.39203944249574</v>
      </c>
      <c r="J139">
        <v>94.5</v>
      </c>
    </row>
    <row r="140" spans="1:10" x14ac:dyDescent="0.3">
      <c r="A140" s="7" t="s">
        <v>31</v>
      </c>
      <c r="B140" s="7" t="s">
        <v>147</v>
      </c>
      <c r="C140" s="4">
        <v>2</v>
      </c>
      <c r="D140" s="4">
        <v>56418109034.114601</v>
      </c>
      <c r="E140" s="4">
        <v>142258679.87904999</v>
      </c>
      <c r="F140" s="4">
        <v>282090545.1706</v>
      </c>
      <c r="G140" s="4">
        <v>711.29339939524993</v>
      </c>
      <c r="H140" s="11">
        <v>8.9450325079456174</v>
      </c>
      <c r="I140" s="13">
        <v>79.518257621023537</v>
      </c>
      <c r="J140">
        <v>86</v>
      </c>
    </row>
    <row r="141" spans="1:10" x14ac:dyDescent="0.3">
      <c r="A141" s="7" t="s">
        <v>43</v>
      </c>
      <c r="B141" s="7" t="s">
        <v>148</v>
      </c>
      <c r="C141" s="4">
        <v>10</v>
      </c>
      <c r="D141" s="4">
        <v>24021827339.1273</v>
      </c>
      <c r="E141" s="4">
        <v>140160109.25740498</v>
      </c>
      <c r="F141" s="4">
        <v>120109136.6956</v>
      </c>
      <c r="G141" s="4">
        <v>700.80054628702499</v>
      </c>
      <c r="H141" s="11">
        <v>3.8086357399681794</v>
      </c>
      <c r="I141" s="13">
        <v>184.0030378680635</v>
      </c>
      <c r="J141">
        <v>96.5</v>
      </c>
    </row>
    <row r="142" spans="1:10" x14ac:dyDescent="0.3">
      <c r="A142" s="7" t="s">
        <v>32</v>
      </c>
      <c r="B142" s="7" t="s">
        <v>109</v>
      </c>
      <c r="C142" s="4">
        <v>7</v>
      </c>
      <c r="D142" s="4">
        <v>25651319303.133301</v>
      </c>
      <c r="E142" s="4">
        <v>138829367.34980598</v>
      </c>
      <c r="F142" s="4">
        <v>128256596.5157</v>
      </c>
      <c r="G142" s="4">
        <v>694.14683674902994</v>
      </c>
      <c r="H142" s="11">
        <v>4.0669899960574103</v>
      </c>
      <c r="I142" s="13">
        <v>170.67827494583079</v>
      </c>
      <c r="J142">
        <v>68.5</v>
      </c>
    </row>
    <row r="143" spans="1:10" x14ac:dyDescent="0.3">
      <c r="A143" s="7" t="s">
        <v>44</v>
      </c>
      <c r="B143" s="7" t="s">
        <v>118</v>
      </c>
      <c r="C143" s="4">
        <v>1.3</v>
      </c>
      <c r="D143" s="4">
        <v>55754834878.022598</v>
      </c>
      <c r="E143" s="4">
        <v>132813728.19512798</v>
      </c>
      <c r="F143" s="4">
        <v>278774174.3901</v>
      </c>
      <c r="G143" s="4">
        <v>664.06864097563994</v>
      </c>
      <c r="H143" s="11">
        <v>8.8398710803561951</v>
      </c>
      <c r="I143" s="13">
        <v>75.121982542406244</v>
      </c>
      <c r="J143">
        <v>54</v>
      </c>
    </row>
    <row r="144" spans="1:10" x14ac:dyDescent="0.3">
      <c r="A144" s="7" t="s">
        <v>45</v>
      </c>
      <c r="B144" s="7" t="s">
        <v>117</v>
      </c>
      <c r="C144" s="4">
        <v>2.2999999999999998</v>
      </c>
      <c r="D144" s="4">
        <v>51893869394.448898</v>
      </c>
      <c r="E144" s="4">
        <v>131396300.28952499</v>
      </c>
      <c r="F144" s="4">
        <v>259469346.97220001</v>
      </c>
      <c r="G144" s="4">
        <v>656.98150144762496</v>
      </c>
      <c r="H144" s="11">
        <v>8.2277190186531097</v>
      </c>
      <c r="I144" s="13">
        <v>79.849773668519589</v>
      </c>
      <c r="J144">
        <v>84.5</v>
      </c>
    </row>
    <row r="145" spans="1:14" x14ac:dyDescent="0.3">
      <c r="A145" s="7" t="s">
        <v>45</v>
      </c>
      <c r="B145" s="7" t="s">
        <v>119</v>
      </c>
      <c r="C145" s="4">
        <v>1.6</v>
      </c>
      <c r="D145" s="4">
        <v>74123632599.527298</v>
      </c>
      <c r="E145" s="4">
        <v>130093799.933432</v>
      </c>
      <c r="F145" s="4">
        <v>370618162.99760002</v>
      </c>
      <c r="G145" s="4">
        <v>650.46899966716001</v>
      </c>
      <c r="H145" s="11">
        <v>11.75222485406001</v>
      </c>
      <c r="I145" s="13">
        <v>55.348583586914962</v>
      </c>
      <c r="J145">
        <v>70</v>
      </c>
    </row>
    <row r="146" spans="1:14" x14ac:dyDescent="0.3">
      <c r="A146" s="7" t="s">
        <v>45</v>
      </c>
      <c r="B146" s="7" t="s">
        <v>122</v>
      </c>
      <c r="C146" s="4">
        <v>1.3</v>
      </c>
      <c r="D146" s="4">
        <v>75424713098.811203</v>
      </c>
      <c r="E146" s="4">
        <v>123419721.96352099</v>
      </c>
      <c r="F146" s="4">
        <v>377123565.49409997</v>
      </c>
      <c r="G146" s="4">
        <v>617.09860981760494</v>
      </c>
      <c r="H146" s="11">
        <v>11.958509813992137</v>
      </c>
      <c r="I146" s="13">
        <v>51.60330337276342</v>
      </c>
      <c r="J146">
        <v>81.5</v>
      </c>
    </row>
    <row r="147" spans="1:14" x14ac:dyDescent="0.3">
      <c r="A147" s="7" t="s">
        <v>45</v>
      </c>
      <c r="B147" s="7" t="s">
        <v>120</v>
      </c>
      <c r="C147" s="4">
        <v>1</v>
      </c>
      <c r="D147" s="4">
        <v>66178072321.889801</v>
      </c>
      <c r="E147" s="4">
        <v>121546199.21937001</v>
      </c>
      <c r="F147" s="4">
        <v>330890361.60939997</v>
      </c>
      <c r="G147" s="4">
        <v>607.73099609685005</v>
      </c>
      <c r="H147" s="11">
        <v>10.492464536068271</v>
      </c>
      <c r="I147" s="13">
        <v>57.920710049364494</v>
      </c>
      <c r="J147">
        <v>59.5</v>
      </c>
    </row>
    <row r="148" spans="1:14" x14ac:dyDescent="0.3">
      <c r="A148" s="7" t="s">
        <v>44</v>
      </c>
      <c r="B148" s="7" t="s">
        <v>123</v>
      </c>
      <c r="C148" s="4">
        <v>9.25</v>
      </c>
      <c r="D148" s="4">
        <v>23860547055.783901</v>
      </c>
      <c r="E148" s="4">
        <v>120577783.432779</v>
      </c>
      <c r="F148" s="4">
        <v>119302735.2789</v>
      </c>
      <c r="G148" s="4">
        <v>602.88891716389503</v>
      </c>
      <c r="H148" s="11">
        <v>3.7830649187886705</v>
      </c>
      <c r="I148" s="13">
        <v>159.36520522543367</v>
      </c>
      <c r="J148">
        <v>83.5</v>
      </c>
    </row>
    <row r="149" spans="1:14" x14ac:dyDescent="0.3">
      <c r="A149" s="7" t="s">
        <v>45</v>
      </c>
      <c r="B149" s="7" t="s">
        <v>124</v>
      </c>
      <c r="C149" s="4">
        <v>1</v>
      </c>
      <c r="D149" s="4">
        <v>87993099019.315308</v>
      </c>
      <c r="E149" s="4">
        <v>111626275.73654398</v>
      </c>
      <c r="F149" s="4">
        <v>439965495.0966</v>
      </c>
      <c r="G149" s="4">
        <v>558.13137868271997</v>
      </c>
      <c r="H149" s="11">
        <v>13.95121432954644</v>
      </c>
      <c r="I149" s="13">
        <v>40.005935361532437</v>
      </c>
      <c r="J149">
        <v>80.5</v>
      </c>
    </row>
    <row r="150" spans="1:14" x14ac:dyDescent="0.3">
      <c r="A150" s="7" t="s">
        <v>31</v>
      </c>
      <c r="B150" s="7" t="s">
        <v>149</v>
      </c>
      <c r="C150" s="4">
        <v>7</v>
      </c>
      <c r="D150" s="4">
        <v>30003708201.5564</v>
      </c>
      <c r="E150" s="4">
        <v>110535454.978056</v>
      </c>
      <c r="F150" s="4">
        <v>150018541.00780001</v>
      </c>
      <c r="G150" s="4">
        <v>552.67727489028005</v>
      </c>
      <c r="H150" s="11">
        <v>4.7570567290646242</v>
      </c>
      <c r="I150" s="13">
        <v>116.18050958138406</v>
      </c>
      <c r="J150">
        <v>96</v>
      </c>
    </row>
    <row r="151" spans="1:14" x14ac:dyDescent="0.3">
      <c r="A151" s="7" t="s">
        <v>45</v>
      </c>
      <c r="B151" s="7" t="s">
        <v>121</v>
      </c>
      <c r="C151" s="4">
        <v>1.8</v>
      </c>
      <c r="D151" s="4">
        <v>63364650468.194603</v>
      </c>
      <c r="E151" s="4">
        <v>107893389.742001</v>
      </c>
      <c r="F151" s="4">
        <v>316823252.34100002</v>
      </c>
      <c r="G151" s="4">
        <v>539.466948710005</v>
      </c>
      <c r="H151" s="11">
        <v>10.046399427352011</v>
      </c>
      <c r="I151" s="13">
        <v>53.697541354096401</v>
      </c>
      <c r="J151">
        <v>83</v>
      </c>
    </row>
    <row r="152" spans="1:14" x14ac:dyDescent="0.3">
      <c r="A152" s="7" t="s">
        <v>45</v>
      </c>
      <c r="B152" s="7" t="s">
        <v>126</v>
      </c>
      <c r="C152" s="4">
        <v>0.4</v>
      </c>
      <c r="D152" s="4">
        <v>68568964362.0243</v>
      </c>
      <c r="E152" s="4">
        <v>105057167.13083202</v>
      </c>
      <c r="F152" s="4">
        <v>342844821.81010002</v>
      </c>
      <c r="G152" s="4">
        <v>525.28583565416011</v>
      </c>
      <c r="H152" s="11">
        <v>10.871537982309789</v>
      </c>
      <c r="I152" s="13">
        <v>48.317527520844557</v>
      </c>
      <c r="J152">
        <v>60.5</v>
      </c>
    </row>
    <row r="153" spans="1:14" x14ac:dyDescent="0.3">
      <c r="A153" s="7" t="s">
        <v>31</v>
      </c>
      <c r="B153" s="7" t="s">
        <v>150</v>
      </c>
      <c r="C153" s="4">
        <v>15</v>
      </c>
      <c r="D153" s="4">
        <v>18998489135.743198</v>
      </c>
      <c r="E153" s="4">
        <v>100706883.73567398</v>
      </c>
      <c r="F153" s="4">
        <v>94992445.6787</v>
      </c>
      <c r="G153" s="4">
        <v>503.53441867836995</v>
      </c>
      <c r="H153" s="11">
        <v>3.0121906925011412</v>
      </c>
      <c r="I153" s="13">
        <v>167.16551841552413</v>
      </c>
      <c r="J153">
        <v>97</v>
      </c>
    </row>
    <row r="154" spans="1:14" x14ac:dyDescent="0.3">
      <c r="A154" s="7" t="s">
        <v>44</v>
      </c>
      <c r="B154" s="7" t="s">
        <v>125</v>
      </c>
      <c r="C154" s="4">
        <v>1.5</v>
      </c>
      <c r="D154" s="4">
        <v>53899236783.730904</v>
      </c>
      <c r="E154" s="4">
        <v>94984473.707248002</v>
      </c>
      <c r="F154" s="4">
        <v>269496183.91869998</v>
      </c>
      <c r="G154" s="4">
        <v>474.92236853624001</v>
      </c>
      <c r="H154" s="11">
        <v>8.5456679324788976</v>
      </c>
      <c r="I154" s="13">
        <v>55.57463410568964</v>
      </c>
      <c r="J154">
        <v>60</v>
      </c>
    </row>
    <row r="155" spans="1:14" x14ac:dyDescent="0.3">
      <c r="A155" s="7" t="s">
        <v>12</v>
      </c>
      <c r="B155" s="7" t="s">
        <v>128</v>
      </c>
      <c r="C155" s="4">
        <v>0.5</v>
      </c>
      <c r="D155" s="4">
        <v>133858450574.9268</v>
      </c>
      <c r="E155" s="4">
        <v>90946250.634655014</v>
      </c>
      <c r="F155" s="4">
        <v>669292252.87460005</v>
      </c>
      <c r="G155" s="4">
        <v>454.73125317327504</v>
      </c>
      <c r="H155" s="11">
        <v>21.22311811499981</v>
      </c>
      <c r="I155" s="13">
        <v>21.426222608254992</v>
      </c>
      <c r="J155">
        <v>84</v>
      </c>
    </row>
    <row r="156" spans="1:14" x14ac:dyDescent="0.3">
      <c r="A156" s="7" t="s">
        <v>44</v>
      </c>
      <c r="B156" s="7" t="s">
        <v>127</v>
      </c>
      <c r="C156" s="4">
        <v>3</v>
      </c>
      <c r="D156" s="4">
        <v>55349146482.962402</v>
      </c>
      <c r="E156" s="4">
        <v>84843107.110640988</v>
      </c>
      <c r="F156" s="4">
        <v>276745732.41479999</v>
      </c>
      <c r="G156" s="4">
        <v>424.21553555320497</v>
      </c>
      <c r="H156" s="11">
        <v>8.7755496072682657</v>
      </c>
      <c r="I156" s="13">
        <v>48.340623042214069</v>
      </c>
      <c r="J156">
        <v>57</v>
      </c>
    </row>
    <row r="157" spans="1:14" ht="46.15" x14ac:dyDescent="0.3">
      <c r="A157" s="21" t="s">
        <v>8</v>
      </c>
      <c r="B157" s="22"/>
      <c r="C157" s="22"/>
      <c r="D157" s="22"/>
      <c r="E157" s="22"/>
      <c r="F157" s="22"/>
      <c r="G157" s="22"/>
      <c r="H157" s="22"/>
      <c r="I157" s="22"/>
      <c r="J157" s="22"/>
      <c r="K157" t="str">
        <f>ROUND(AVERAGE(G158:G214),2)&amp;"±"&amp;ROUND(_xlfn.STDEV.P(G158:G214),2)</f>
        <v>1201.44±816.15</v>
      </c>
      <c r="L157" t="str">
        <f>ROUND(AVERAGE(H158:H214),2)&amp;"±"&amp;ROUND(_xlfn.STDEV.P(H158:H214),2)</f>
        <v>9.58±1.65</v>
      </c>
      <c r="M157" t="str">
        <f>ROUND(AVERAGE(I158:I214),2)&amp;"±"&amp;ROUND(_xlfn.STDEV.P(I158:I214),2)</f>
        <v>130.57±99.62</v>
      </c>
      <c r="N157" t="str">
        <f>ROUND(AVERAGE(J158:J214),2)&amp;"±"&amp;ROUND(_xlfn.STDEV.P(J158:J214),2)</f>
        <v>72.59±19.82</v>
      </c>
    </row>
    <row r="158" spans="1:14" x14ac:dyDescent="0.3">
      <c r="A158" s="4" t="s">
        <v>12</v>
      </c>
      <c r="B158" s="4" t="s">
        <v>162</v>
      </c>
      <c r="C158" s="4">
        <v>1.5</v>
      </c>
      <c r="D158" s="4">
        <v>64237537588.689598</v>
      </c>
      <c r="E158" s="4">
        <v>613130213.44959998</v>
      </c>
      <c r="F158" s="4">
        <v>321187687.94340003</v>
      </c>
      <c r="G158" s="4">
        <v>3065.6510671999999</v>
      </c>
      <c r="H158" s="11">
        <v>10.184794772433028</v>
      </c>
      <c r="I158" s="13">
        <v>301.00273355509665</v>
      </c>
      <c r="J158" s="4">
        <v>93</v>
      </c>
    </row>
    <row r="159" spans="1:14" x14ac:dyDescent="0.3">
      <c r="A159" s="4" t="s">
        <v>11</v>
      </c>
      <c r="B159" s="4" t="s">
        <v>151</v>
      </c>
      <c r="C159" s="4">
        <v>3.6</v>
      </c>
      <c r="D159" s="4">
        <v>38160051053.694199</v>
      </c>
      <c r="E159" s="4">
        <v>561143829.82000005</v>
      </c>
      <c r="F159" s="4">
        <v>190800255.2685</v>
      </c>
      <c r="G159" s="4">
        <v>2805.7191490999999</v>
      </c>
      <c r="H159" s="11">
        <v>6.0502364050123987</v>
      </c>
      <c r="I159" s="13">
        <v>463.73711063183657</v>
      </c>
      <c r="J159" s="4">
        <v>89</v>
      </c>
    </row>
    <row r="160" spans="1:14" x14ac:dyDescent="0.3">
      <c r="A160" s="4" t="s">
        <v>11</v>
      </c>
      <c r="B160" s="4" t="s">
        <v>153</v>
      </c>
      <c r="C160" s="4">
        <v>1.5</v>
      </c>
      <c r="D160" s="4">
        <v>59233027205.239403</v>
      </c>
      <c r="E160" s="4">
        <v>547208421.65279996</v>
      </c>
      <c r="F160" s="4">
        <v>296165136.0262</v>
      </c>
      <c r="G160" s="4">
        <v>2736.0421083000001</v>
      </c>
      <c r="H160" s="11">
        <v>9.3913348562340513</v>
      </c>
      <c r="I160" s="13">
        <v>291.33687065622956</v>
      </c>
      <c r="J160" s="4">
        <v>83.5</v>
      </c>
    </row>
    <row r="161" spans="1:10" x14ac:dyDescent="0.3">
      <c r="A161" s="4" t="s">
        <v>12</v>
      </c>
      <c r="B161" s="4" t="s">
        <v>163</v>
      </c>
      <c r="C161" s="4">
        <v>1.5</v>
      </c>
      <c r="D161" s="4">
        <v>69026419071.096405</v>
      </c>
      <c r="E161" s="4">
        <v>538766885.00899994</v>
      </c>
      <c r="F161" s="4">
        <v>345132095.35549998</v>
      </c>
      <c r="G161" s="4">
        <v>2693.834425</v>
      </c>
      <c r="H161" s="11">
        <v>10.944066950643139</v>
      </c>
      <c r="I161" s="13">
        <v>246.14564559491242</v>
      </c>
      <c r="J161" s="4">
        <v>91</v>
      </c>
    </row>
    <row r="162" spans="1:10" x14ac:dyDescent="0.3">
      <c r="A162" s="4" t="s">
        <v>11</v>
      </c>
      <c r="B162" s="4" t="s">
        <v>154</v>
      </c>
      <c r="C162" s="4">
        <v>1.3</v>
      </c>
      <c r="D162" s="4">
        <v>64360356189.115799</v>
      </c>
      <c r="E162" s="4">
        <v>509119137.91329998</v>
      </c>
      <c r="F162" s="4">
        <v>321801780.94559997</v>
      </c>
      <c r="G162" s="4">
        <v>2545.5956895999998</v>
      </c>
      <c r="H162" s="11">
        <v>10.204267533789288</v>
      </c>
      <c r="I162" s="13">
        <v>249.46383277102393</v>
      </c>
      <c r="J162" s="4">
        <v>82.5</v>
      </c>
    </row>
    <row r="163" spans="1:10" x14ac:dyDescent="0.3">
      <c r="A163" s="4" t="s">
        <v>11</v>
      </c>
      <c r="B163" s="4" t="s">
        <v>152</v>
      </c>
      <c r="C163" s="4">
        <v>1.3</v>
      </c>
      <c r="D163" s="4">
        <v>63995321976.012802</v>
      </c>
      <c r="E163" s="4">
        <v>467066957.31440002</v>
      </c>
      <c r="F163" s="4">
        <v>319976609.88010001</v>
      </c>
      <c r="G163" s="4">
        <v>2335.3347865999999</v>
      </c>
      <c r="H163" s="11">
        <v>10.146391738967022</v>
      </c>
      <c r="I163" s="13">
        <v>230.16406686045755</v>
      </c>
      <c r="J163" s="4">
        <v>84</v>
      </c>
    </row>
    <row r="164" spans="1:10" x14ac:dyDescent="0.3">
      <c r="A164" s="4" t="s">
        <v>12</v>
      </c>
      <c r="B164" s="4" t="s">
        <v>164</v>
      </c>
      <c r="C164" s="4">
        <v>3.6</v>
      </c>
      <c r="D164" s="4">
        <v>39853564149.603203</v>
      </c>
      <c r="E164" s="4">
        <v>417408859.11009997</v>
      </c>
      <c r="F164" s="4">
        <v>199267820.748</v>
      </c>
      <c r="G164" s="4">
        <v>2087.0442956000002</v>
      </c>
      <c r="H164" s="11">
        <v>6.3187411449776771</v>
      </c>
      <c r="I164" s="13">
        <v>330.29431776277858</v>
      </c>
      <c r="J164" s="4">
        <v>96</v>
      </c>
    </row>
    <row r="165" spans="1:10" x14ac:dyDescent="0.3">
      <c r="A165" s="4" t="s">
        <v>12</v>
      </c>
      <c r="B165" s="4" t="s">
        <v>166</v>
      </c>
      <c r="C165" s="4">
        <v>0.2</v>
      </c>
      <c r="D165" s="4">
        <v>84615068507.330307</v>
      </c>
      <c r="E165" s="4">
        <v>394783668.76670003</v>
      </c>
      <c r="F165" s="4">
        <v>423075342.53670001</v>
      </c>
      <c r="G165" s="4">
        <v>1973.9183438</v>
      </c>
      <c r="H165" s="11">
        <v>13.41563110529717</v>
      </c>
      <c r="I165" s="13">
        <v>147.13570523123562</v>
      </c>
      <c r="J165" s="4">
        <v>0</v>
      </c>
    </row>
    <row r="166" spans="1:10" x14ac:dyDescent="0.3">
      <c r="A166" s="4" t="s">
        <v>11</v>
      </c>
      <c r="B166" s="4" t="s">
        <v>155</v>
      </c>
      <c r="C166" s="4">
        <v>1</v>
      </c>
      <c r="D166" s="4">
        <v>56006553716.898697</v>
      </c>
      <c r="E166" s="4">
        <v>369251854.67680001</v>
      </c>
      <c r="F166" s="4">
        <v>280032768.58450001</v>
      </c>
      <c r="G166" s="4">
        <v>1846.2592734</v>
      </c>
      <c r="H166" s="11">
        <v>8.8797808404519749</v>
      </c>
      <c r="I166" s="13">
        <v>207.91721176150409</v>
      </c>
      <c r="J166" s="4">
        <v>84</v>
      </c>
    </row>
    <row r="167" spans="1:10" x14ac:dyDescent="0.3">
      <c r="A167" s="4" t="s">
        <v>11</v>
      </c>
      <c r="B167" s="4" t="s">
        <v>156</v>
      </c>
      <c r="C167" s="4">
        <v>0.95</v>
      </c>
      <c r="D167" s="4">
        <v>74592469644.195007</v>
      </c>
      <c r="E167" s="4">
        <v>318226147.7852</v>
      </c>
      <c r="F167" s="4">
        <v>372962348.22100002</v>
      </c>
      <c r="G167" s="4">
        <v>1591.1307389000001</v>
      </c>
      <c r="H167" s="11">
        <v>11.82655847986349</v>
      </c>
      <c r="I167" s="13">
        <v>134.53877910544657</v>
      </c>
      <c r="J167" s="4">
        <v>69</v>
      </c>
    </row>
    <row r="168" spans="1:10" x14ac:dyDescent="0.3">
      <c r="A168" s="4" t="s">
        <v>11</v>
      </c>
      <c r="B168" s="4" t="s">
        <v>158</v>
      </c>
      <c r="C168" s="4">
        <v>1.3</v>
      </c>
      <c r="D168" s="4">
        <v>49534507190.6632</v>
      </c>
      <c r="E168" s="4">
        <v>250396699.9745</v>
      </c>
      <c r="F168" s="4">
        <v>247672535.9533</v>
      </c>
      <c r="G168" s="4">
        <v>1251.9834999</v>
      </c>
      <c r="H168" s="11">
        <v>7.8536445951711062</v>
      </c>
      <c r="I168" s="13">
        <v>159.41433110810678</v>
      </c>
      <c r="J168" s="4">
        <v>34.5</v>
      </c>
    </row>
    <row r="169" spans="1:10" x14ac:dyDescent="0.3">
      <c r="A169" s="4" t="s">
        <v>12</v>
      </c>
      <c r="B169" s="4" t="s">
        <v>167</v>
      </c>
      <c r="C169" s="4">
        <v>1.3</v>
      </c>
      <c r="D169" s="4">
        <v>72306258959.140701</v>
      </c>
      <c r="E169" s="4">
        <v>243229986.8761</v>
      </c>
      <c r="F169" s="4">
        <v>361531294.79570001</v>
      </c>
      <c r="G169" s="4">
        <v>1216.1499343999999</v>
      </c>
      <c r="H169" s="11">
        <v>11.46408215359283</v>
      </c>
      <c r="I169" s="13">
        <v>106.08349784189743</v>
      </c>
      <c r="J169" s="4">
        <v>75.5</v>
      </c>
    </row>
    <row r="170" spans="1:10" x14ac:dyDescent="0.3">
      <c r="A170" s="4" t="s">
        <v>11</v>
      </c>
      <c r="B170" s="4" t="s">
        <v>157</v>
      </c>
      <c r="C170" s="4">
        <v>2</v>
      </c>
      <c r="D170" s="4">
        <v>55591165227.804199</v>
      </c>
      <c r="E170" s="4">
        <v>212389499.97310001</v>
      </c>
      <c r="F170" s="4">
        <v>277955826.139</v>
      </c>
      <c r="G170" s="4">
        <v>1061.9474998999999</v>
      </c>
      <c r="H170" s="11">
        <v>8.8139214275437912</v>
      </c>
      <c r="I170" s="13">
        <v>120.48524696185507</v>
      </c>
      <c r="J170" s="4">
        <v>78</v>
      </c>
    </row>
    <row r="171" spans="1:10" x14ac:dyDescent="0.3">
      <c r="A171" s="4" t="s">
        <v>12</v>
      </c>
      <c r="B171" s="4" t="s">
        <v>165</v>
      </c>
      <c r="C171" s="4">
        <v>1.2</v>
      </c>
      <c r="D171" s="4">
        <v>68842968986.591507</v>
      </c>
      <c r="E171" s="4">
        <v>197760539.89719999</v>
      </c>
      <c r="F171" s="4">
        <v>344214844.93300003</v>
      </c>
      <c r="G171" s="4">
        <v>988.80269950000002</v>
      </c>
      <c r="H171" s="11">
        <v>10.914981130547867</v>
      </c>
      <c r="I171" s="13">
        <v>90.591333844144543</v>
      </c>
      <c r="J171" s="4">
        <v>71</v>
      </c>
    </row>
    <row r="172" spans="1:10" x14ac:dyDescent="0.3">
      <c r="A172" s="4" t="s">
        <v>12</v>
      </c>
      <c r="B172" s="4" t="s">
        <v>168</v>
      </c>
      <c r="C172" s="4">
        <v>1.2</v>
      </c>
      <c r="D172" s="4">
        <v>66558456385.364899</v>
      </c>
      <c r="E172" s="4">
        <v>196130560.0264</v>
      </c>
      <c r="F172" s="4">
        <v>332792281.92680001</v>
      </c>
      <c r="G172" s="4">
        <v>980.65280010000004</v>
      </c>
      <c r="H172" s="11">
        <v>10.552774033701944</v>
      </c>
      <c r="I172" s="13">
        <v>92.928437296973385</v>
      </c>
      <c r="J172" s="4">
        <v>75.5</v>
      </c>
    </row>
    <row r="173" spans="1:10" x14ac:dyDescent="0.3">
      <c r="A173" s="4" t="s">
        <v>45</v>
      </c>
      <c r="B173" s="4" t="s">
        <v>170</v>
      </c>
      <c r="C173" s="4">
        <v>3</v>
      </c>
      <c r="D173" s="4">
        <v>49347313615.840202</v>
      </c>
      <c r="E173" s="4">
        <v>161714103.2791</v>
      </c>
      <c r="F173" s="4">
        <v>246736568.0792</v>
      </c>
      <c r="G173" s="4">
        <v>808.57051639999997</v>
      </c>
      <c r="H173" s="11">
        <v>7.8239652485794338</v>
      </c>
      <c r="I173" s="13">
        <v>103.34536142613989</v>
      </c>
      <c r="J173" s="4">
        <v>95</v>
      </c>
    </row>
    <row r="174" spans="1:10" x14ac:dyDescent="0.3">
      <c r="A174" s="4" t="s">
        <v>11</v>
      </c>
      <c r="B174" s="4" t="s">
        <v>159</v>
      </c>
      <c r="C174" s="4">
        <v>1.5</v>
      </c>
      <c r="D174" s="4">
        <v>63411067754.117897</v>
      </c>
      <c r="E174" s="4">
        <v>157683158.74309999</v>
      </c>
      <c r="F174" s="4">
        <v>317055338.77060002</v>
      </c>
      <c r="G174" s="4">
        <v>788.41579369999999</v>
      </c>
      <c r="H174" s="11">
        <v>10.053758839757403</v>
      </c>
      <c r="I174" s="13">
        <v>78.420002534994609</v>
      </c>
      <c r="J174" s="4">
        <v>71.5</v>
      </c>
    </row>
    <row r="175" spans="1:10" x14ac:dyDescent="0.3">
      <c r="A175" s="4" t="s">
        <v>17</v>
      </c>
      <c r="B175" s="4" t="s">
        <v>171</v>
      </c>
      <c r="C175" s="4">
        <v>1.25</v>
      </c>
      <c r="D175" s="4">
        <v>55436413074.134903</v>
      </c>
      <c r="E175" s="4">
        <v>146857050.98140001</v>
      </c>
      <c r="F175" s="4">
        <v>277182065.3707</v>
      </c>
      <c r="G175" s="4">
        <v>734.28525490000004</v>
      </c>
      <c r="H175" s="11">
        <v>8.7893856345343266</v>
      </c>
      <c r="I175" s="13">
        <v>83.542273081627442</v>
      </c>
      <c r="J175" s="4">
        <v>92</v>
      </c>
    </row>
    <row r="176" spans="1:10" x14ac:dyDescent="0.3">
      <c r="A176" s="4" t="s">
        <v>18</v>
      </c>
      <c r="B176" s="4" t="s">
        <v>160</v>
      </c>
      <c r="C176" s="4">
        <v>1.25</v>
      </c>
      <c r="D176" s="4">
        <v>55494365630.220398</v>
      </c>
      <c r="E176" s="4">
        <v>146839795.9781</v>
      </c>
      <c r="F176" s="4">
        <v>277471828.15109998</v>
      </c>
      <c r="G176" s="4">
        <v>734.19897990000004</v>
      </c>
      <c r="H176" s="11">
        <v>8.7985739520263184</v>
      </c>
      <c r="I176" s="13">
        <v>83.445224635625578</v>
      </c>
      <c r="J176" s="4">
        <v>93.5</v>
      </c>
    </row>
    <row r="177" spans="1:10" x14ac:dyDescent="0.3">
      <c r="A177" s="4" t="s">
        <v>20</v>
      </c>
      <c r="B177" s="4" t="s">
        <v>169</v>
      </c>
      <c r="C177" s="4">
        <v>1</v>
      </c>
      <c r="D177" s="4">
        <v>50653543258.574203</v>
      </c>
      <c r="E177" s="4">
        <v>146364076.11500001</v>
      </c>
      <c r="F177" s="4">
        <v>253267716.2929</v>
      </c>
      <c r="G177" s="4">
        <v>731.82038060000002</v>
      </c>
      <c r="H177" s="11">
        <v>8.0310665998500443</v>
      </c>
      <c r="I177" s="13">
        <v>91.123684693844339</v>
      </c>
      <c r="J177" s="4">
        <v>69</v>
      </c>
    </row>
    <row r="178" spans="1:10" x14ac:dyDescent="0.3">
      <c r="A178" s="4" t="s">
        <v>19</v>
      </c>
      <c r="B178" s="4" t="s">
        <v>172</v>
      </c>
      <c r="C178" s="4">
        <v>1.25</v>
      </c>
      <c r="D178" s="4">
        <v>55547643854.174599</v>
      </c>
      <c r="E178" s="4">
        <v>145549695.20640001</v>
      </c>
      <c r="F178" s="4">
        <v>277738219.27090001</v>
      </c>
      <c r="G178" s="4">
        <v>727.74847599999998</v>
      </c>
      <c r="H178" s="11">
        <v>8.8070211590205787</v>
      </c>
      <c r="I178" s="13">
        <v>82.632761164040659</v>
      </c>
      <c r="J178" s="4">
        <v>94.5</v>
      </c>
    </row>
    <row r="179" spans="1:10" x14ac:dyDescent="0.3">
      <c r="A179" s="4" t="s">
        <v>17</v>
      </c>
      <c r="B179" s="4" t="s">
        <v>178</v>
      </c>
      <c r="C179" s="4">
        <v>1</v>
      </c>
      <c r="D179" s="4">
        <v>73652271332.246994</v>
      </c>
      <c r="E179" s="4">
        <v>138934546.5009</v>
      </c>
      <c r="F179" s="4">
        <v>368261356.66119999</v>
      </c>
      <c r="G179" s="4">
        <v>694.67273250000005</v>
      </c>
      <c r="H179" s="11">
        <v>11.6774910153867</v>
      </c>
      <c r="I179" s="13">
        <v>59.4881838559904</v>
      </c>
      <c r="J179" s="4">
        <v>77.5</v>
      </c>
    </row>
    <row r="180" spans="1:10" x14ac:dyDescent="0.3">
      <c r="A180" s="4" t="s">
        <v>46</v>
      </c>
      <c r="B180" s="4" t="s">
        <v>161</v>
      </c>
      <c r="C180" s="4">
        <v>0.95</v>
      </c>
      <c r="D180" s="4">
        <v>83430107047.093307</v>
      </c>
      <c r="E180" s="4">
        <v>136676058.01030001</v>
      </c>
      <c r="F180" s="4">
        <v>417150535.23549998</v>
      </c>
      <c r="G180" s="4">
        <v>683.38029010000002</v>
      </c>
      <c r="H180" s="11">
        <v>13.227756698232703</v>
      </c>
      <c r="I180" s="13">
        <v>51.662599009800594</v>
      </c>
      <c r="J180" s="4">
        <v>86.5</v>
      </c>
    </row>
    <row r="181" spans="1:10" x14ac:dyDescent="0.3">
      <c r="A181" s="4" t="s">
        <v>45</v>
      </c>
      <c r="B181" s="4" t="s">
        <v>175</v>
      </c>
      <c r="C181" s="4">
        <v>2.5</v>
      </c>
      <c r="D181" s="4">
        <v>47184307868.036201</v>
      </c>
      <c r="E181" s="4">
        <v>131682158.75660001</v>
      </c>
      <c r="F181" s="4">
        <v>235921539.34020001</v>
      </c>
      <c r="G181" s="4">
        <v>658.41079379999996</v>
      </c>
      <c r="H181" s="11">
        <v>7.4810229369666734</v>
      </c>
      <c r="I181" s="13">
        <v>88.010797366565143</v>
      </c>
      <c r="J181" s="4">
        <v>81.5</v>
      </c>
    </row>
    <row r="182" spans="1:10" x14ac:dyDescent="0.3">
      <c r="A182" s="4" t="s">
        <v>20</v>
      </c>
      <c r="B182" s="4" t="s">
        <v>174</v>
      </c>
      <c r="C182" s="4">
        <v>0.95</v>
      </c>
      <c r="D182" s="4">
        <v>67326164274.412201</v>
      </c>
      <c r="E182" s="4">
        <v>122870977.3707</v>
      </c>
      <c r="F182" s="4">
        <v>336630821.3721</v>
      </c>
      <c r="G182" s="4">
        <v>614.3548869</v>
      </c>
      <c r="H182" s="11">
        <v>10.674493321031868</v>
      </c>
      <c r="I182" s="13">
        <v>57.553540802685362</v>
      </c>
      <c r="J182" s="4">
        <v>60.5</v>
      </c>
    </row>
    <row r="183" spans="1:10" x14ac:dyDescent="0.3">
      <c r="A183" s="4" t="s">
        <v>12</v>
      </c>
      <c r="B183" s="4" t="s">
        <v>173</v>
      </c>
      <c r="C183" s="4">
        <v>1.3</v>
      </c>
      <c r="D183" s="4">
        <v>56910897884.080399</v>
      </c>
      <c r="E183" s="4">
        <v>121381986.1099</v>
      </c>
      <c r="F183" s="4">
        <v>284554489.42040002</v>
      </c>
      <c r="G183" s="4">
        <v>606.90993049999997</v>
      </c>
      <c r="H183" s="11">
        <v>9.0231636675672888</v>
      </c>
      <c r="I183" s="13">
        <v>67.261323506905569</v>
      </c>
      <c r="J183" s="4">
        <v>65</v>
      </c>
    </row>
    <row r="184" spans="1:10" x14ac:dyDescent="0.3">
      <c r="A184" s="4" t="s">
        <v>12</v>
      </c>
      <c r="B184" s="4" t="s">
        <v>179</v>
      </c>
      <c r="C184" s="4">
        <v>2</v>
      </c>
      <c r="D184" s="4">
        <v>51952252251.7743</v>
      </c>
      <c r="E184" s="4">
        <v>121167502.068</v>
      </c>
      <c r="F184" s="4">
        <v>259761261.25889999</v>
      </c>
      <c r="G184" s="4">
        <v>605.83751029999996</v>
      </c>
      <c r="H184" s="11">
        <v>8.2369755599591414</v>
      </c>
      <c r="I184" s="13">
        <v>73.550966114922545</v>
      </c>
      <c r="J184" s="4">
        <v>70</v>
      </c>
    </row>
    <row r="185" spans="1:10" x14ac:dyDescent="0.3">
      <c r="A185" s="4" t="s">
        <v>12</v>
      </c>
      <c r="B185" s="4" t="s">
        <v>176</v>
      </c>
      <c r="C185" s="4">
        <v>1.3</v>
      </c>
      <c r="D185" s="4">
        <v>59195625903.174202</v>
      </c>
      <c r="E185" s="4">
        <v>117338672.4435</v>
      </c>
      <c r="F185" s="4">
        <v>295978129.51590002</v>
      </c>
      <c r="G185" s="4">
        <v>586.69336220000002</v>
      </c>
      <c r="H185" s="11">
        <v>9.3854049186920037</v>
      </c>
      <c r="I185" s="13">
        <v>62.511246694486196</v>
      </c>
      <c r="J185" s="4">
        <v>71.5</v>
      </c>
    </row>
    <row r="186" spans="1:10" x14ac:dyDescent="0.3">
      <c r="A186" s="4" t="s">
        <v>12</v>
      </c>
      <c r="B186" s="4" t="s">
        <v>177</v>
      </c>
      <c r="C186" s="4">
        <v>1.5</v>
      </c>
      <c r="D186" s="4">
        <v>60365633303.710899</v>
      </c>
      <c r="E186" s="4">
        <v>97683787.774900004</v>
      </c>
      <c r="F186" s="4">
        <v>301828166.51859999</v>
      </c>
      <c r="G186" s="4">
        <v>488.4189389</v>
      </c>
      <c r="H186" s="11">
        <v>9.5709083751444215</v>
      </c>
      <c r="I186" s="13">
        <v>51.031617873223027</v>
      </c>
      <c r="J186" s="4">
        <v>63.5</v>
      </c>
    </row>
    <row r="187" spans="1:10" x14ac:dyDescent="0.3">
      <c r="A187" s="4" t="s">
        <v>44</v>
      </c>
      <c r="B187" s="4" t="s">
        <v>183</v>
      </c>
      <c r="C187" s="4">
        <v>1</v>
      </c>
      <c r="D187" s="4">
        <v>60876001156.060898</v>
      </c>
      <c r="E187" s="4">
        <v>94090919.828400001</v>
      </c>
      <c r="F187" s="4">
        <v>304380005.78030002</v>
      </c>
      <c r="G187" s="4">
        <v>470.4545991</v>
      </c>
      <c r="H187" s="11">
        <v>9.6518266673105177</v>
      </c>
      <c r="I187" s="13">
        <v>48.742545356038001</v>
      </c>
      <c r="J187" s="4">
        <v>54</v>
      </c>
    </row>
    <row r="188" spans="1:10" x14ac:dyDescent="0.3">
      <c r="A188" s="4" t="s">
        <v>12</v>
      </c>
      <c r="B188" s="4" t="s">
        <v>180</v>
      </c>
      <c r="C188" s="4">
        <v>1.5</v>
      </c>
      <c r="D188" s="4">
        <v>62425154455.613602</v>
      </c>
      <c r="E188" s="4">
        <v>91856833.210500002</v>
      </c>
      <c r="F188" s="4">
        <v>312125772.27810001</v>
      </c>
      <c r="G188" s="4">
        <v>459.28416609999999</v>
      </c>
      <c r="H188" s="11">
        <v>9.8974433117094112</v>
      </c>
      <c r="I188" s="13">
        <v>46.404323989068239</v>
      </c>
      <c r="J188" s="4">
        <v>70.5</v>
      </c>
    </row>
    <row r="189" spans="1:10" x14ac:dyDescent="0.3">
      <c r="A189" s="4" t="s">
        <v>44</v>
      </c>
      <c r="B189" s="4" t="s">
        <v>181</v>
      </c>
      <c r="C189" s="4">
        <v>0.95</v>
      </c>
      <c r="D189" s="4">
        <v>64941250168.888</v>
      </c>
      <c r="E189" s="4">
        <v>88544809.347299993</v>
      </c>
      <c r="F189" s="4">
        <v>324706250.84439999</v>
      </c>
      <c r="G189" s="4">
        <v>442.72404669999997</v>
      </c>
      <c r="H189" s="11">
        <v>10.296367670105276</v>
      </c>
      <c r="I189" s="13">
        <v>42.998080574124771</v>
      </c>
      <c r="J189" s="4">
        <v>51</v>
      </c>
    </row>
    <row r="190" spans="1:10" x14ac:dyDescent="0.3">
      <c r="A190" s="4" t="s">
        <v>44</v>
      </c>
      <c r="B190" s="4" t="s">
        <v>184</v>
      </c>
      <c r="C190" s="4">
        <v>1</v>
      </c>
      <c r="D190" s="4">
        <v>58576871323.838203</v>
      </c>
      <c r="E190" s="4">
        <v>84615030.134900004</v>
      </c>
      <c r="F190" s="4">
        <v>292884356.61919999</v>
      </c>
      <c r="G190" s="4">
        <v>423.07515069999999</v>
      </c>
      <c r="H190" s="11">
        <v>9.2873020236932717</v>
      </c>
      <c r="I190" s="13">
        <v>45.554150131079311</v>
      </c>
      <c r="J190" s="4">
        <v>44</v>
      </c>
    </row>
    <row r="191" spans="1:10" x14ac:dyDescent="0.3">
      <c r="A191" s="4" t="s">
        <v>44</v>
      </c>
      <c r="B191" s="4" t="s">
        <v>182</v>
      </c>
      <c r="C191" s="4">
        <v>1.3</v>
      </c>
      <c r="D191" s="4">
        <v>50856252558.2211</v>
      </c>
      <c r="E191" s="4">
        <v>81946496.077399999</v>
      </c>
      <c r="F191" s="4">
        <v>254281262.7911</v>
      </c>
      <c r="G191" s="4">
        <v>409.73248039999999</v>
      </c>
      <c r="H191" s="11">
        <v>8.0632059484749341</v>
      </c>
      <c r="I191" s="13">
        <v>50.815083109404682</v>
      </c>
      <c r="J191" s="4">
        <v>50.5</v>
      </c>
    </row>
    <row r="192" spans="1:10" x14ac:dyDescent="0.3">
      <c r="A192" s="5"/>
      <c r="B192" s="5"/>
      <c r="C192"/>
      <c r="D192"/>
      <c r="E192"/>
      <c r="F192"/>
    </row>
    <row r="193" spans="1:6" x14ac:dyDescent="0.3">
      <c r="A193" s="5"/>
      <c r="B193" s="5"/>
      <c r="C193"/>
      <c r="D193"/>
      <c r="E193"/>
      <c r="F193"/>
    </row>
    <row r="194" spans="1:6" x14ac:dyDescent="0.3">
      <c r="A194" s="5"/>
      <c r="B194" s="5"/>
      <c r="C194"/>
      <c r="D194"/>
      <c r="E194"/>
      <c r="F194"/>
    </row>
    <row r="195" spans="1:6" x14ac:dyDescent="0.3">
      <c r="A195" s="5"/>
      <c r="B195" s="5"/>
    </row>
    <row r="196" spans="1:6" x14ac:dyDescent="0.3">
      <c r="A196" s="5"/>
      <c r="B196" s="5"/>
    </row>
    <row r="197" spans="1:6" x14ac:dyDescent="0.3">
      <c r="A197" s="5"/>
      <c r="B197" s="5"/>
    </row>
    <row r="198" spans="1:6" x14ac:dyDescent="0.3">
      <c r="A198" s="5"/>
      <c r="B198" s="5"/>
    </row>
    <row r="199" spans="1:6" x14ac:dyDescent="0.3">
      <c r="A199" s="5"/>
      <c r="B199" s="5"/>
    </row>
    <row r="200" spans="1:6" x14ac:dyDescent="0.3">
      <c r="A200" s="5"/>
      <c r="B200" s="5"/>
    </row>
    <row r="201" spans="1:6" x14ac:dyDescent="0.3">
      <c r="A201" s="5"/>
      <c r="B201" s="5"/>
    </row>
    <row r="202" spans="1:6" x14ac:dyDescent="0.3">
      <c r="A202" s="5"/>
      <c r="B202" s="5"/>
    </row>
    <row r="203" spans="1:6" x14ac:dyDescent="0.3">
      <c r="A203" s="5"/>
      <c r="B203" s="5"/>
    </row>
    <row r="204" spans="1:6" x14ac:dyDescent="0.3">
      <c r="A204" s="5"/>
      <c r="B204" s="5"/>
    </row>
    <row r="205" spans="1:6" x14ac:dyDescent="0.3">
      <c r="A205" s="5"/>
      <c r="B205" s="5"/>
    </row>
    <row r="206" spans="1:6" x14ac:dyDescent="0.3">
      <c r="A206" s="5"/>
      <c r="B206" s="5"/>
    </row>
    <row r="207" spans="1:6" x14ac:dyDescent="0.3">
      <c r="A207" s="5"/>
      <c r="B207" s="5"/>
    </row>
    <row r="208" spans="1:6" x14ac:dyDescent="0.3">
      <c r="A208" s="5"/>
      <c r="B208" s="5"/>
    </row>
    <row r="209" spans="1:2" x14ac:dyDescent="0.3">
      <c r="A209" s="5"/>
      <c r="B209" s="5"/>
    </row>
    <row r="210" spans="1:2" x14ac:dyDescent="0.3">
      <c r="A210" s="5"/>
      <c r="B210" s="5"/>
    </row>
    <row r="211" spans="1:2" x14ac:dyDescent="0.3">
      <c r="A211" s="5"/>
      <c r="B211" s="5"/>
    </row>
    <row r="212" spans="1:2" x14ac:dyDescent="0.3">
      <c r="A212" s="5"/>
      <c r="B212" s="5"/>
    </row>
    <row r="213" spans="1:2" x14ac:dyDescent="0.3">
      <c r="A213" s="5"/>
      <c r="B213" s="5"/>
    </row>
    <row r="214" spans="1:2" x14ac:dyDescent="0.3">
      <c r="A214" s="5"/>
      <c r="B214" s="5"/>
    </row>
    <row r="215" spans="1:2" x14ac:dyDescent="0.3">
      <c r="A215" s="5"/>
      <c r="B215" s="5"/>
    </row>
    <row r="216" spans="1:2" x14ac:dyDescent="0.3">
      <c r="A216" s="5"/>
      <c r="B216" s="5"/>
    </row>
    <row r="217" spans="1:2" x14ac:dyDescent="0.3">
      <c r="A217" s="5"/>
      <c r="B217" s="5"/>
    </row>
    <row r="218" spans="1:2" x14ac:dyDescent="0.3">
      <c r="A218" s="5"/>
      <c r="B218" s="5"/>
    </row>
    <row r="219" spans="1:2" x14ac:dyDescent="0.3">
      <c r="A219" s="5"/>
      <c r="B219" s="5"/>
    </row>
    <row r="220" spans="1:2" x14ac:dyDescent="0.3">
      <c r="A220" s="5"/>
      <c r="B220" s="5"/>
    </row>
    <row r="221" spans="1:2" x14ac:dyDescent="0.3">
      <c r="A221" s="5"/>
      <c r="B221" s="5"/>
    </row>
    <row r="222" spans="1:2" x14ac:dyDescent="0.3">
      <c r="A222" s="5"/>
      <c r="B222" s="5"/>
    </row>
    <row r="223" spans="1:2" x14ac:dyDescent="0.3">
      <c r="A223" s="5"/>
      <c r="B223" s="5"/>
    </row>
    <row r="224" spans="1:2" x14ac:dyDescent="0.3">
      <c r="A224" s="5"/>
      <c r="B224" s="5"/>
    </row>
    <row r="225" spans="1:6" x14ac:dyDescent="0.3">
      <c r="A225" s="5"/>
      <c r="B225" s="5"/>
    </row>
    <row r="226" spans="1:6" x14ac:dyDescent="0.3">
      <c r="A226" s="5"/>
      <c r="B226" s="5"/>
    </row>
    <row r="227" spans="1:6" x14ac:dyDescent="0.3">
      <c r="A227" s="5"/>
      <c r="B227" s="5"/>
    </row>
    <row r="228" spans="1:6" x14ac:dyDescent="0.3">
      <c r="A228" s="5"/>
      <c r="B228" s="5"/>
    </row>
    <row r="229" spans="1:6" x14ac:dyDescent="0.3">
      <c r="A229" s="5"/>
      <c r="B229" s="5"/>
      <c r="C229"/>
      <c r="D229"/>
      <c r="E229"/>
      <c r="F229"/>
    </row>
    <row r="230" spans="1:6" x14ac:dyDescent="0.3">
      <c r="A230" s="5"/>
      <c r="B230" s="5"/>
      <c r="C230"/>
      <c r="D230"/>
      <c r="E230"/>
      <c r="F230"/>
    </row>
    <row r="231" spans="1:6" x14ac:dyDescent="0.3">
      <c r="A231" s="5"/>
      <c r="B231" s="5"/>
      <c r="C231"/>
      <c r="D231"/>
      <c r="E231"/>
      <c r="F231"/>
    </row>
    <row r="232" spans="1:6" x14ac:dyDescent="0.3">
      <c r="A232" s="5"/>
      <c r="B232" s="5"/>
      <c r="C232"/>
      <c r="D232"/>
      <c r="E232"/>
      <c r="F232"/>
    </row>
  </sheetData>
  <sortState xmlns:xlrd2="http://schemas.microsoft.com/office/spreadsheetml/2017/richdata2" ref="A1:N191">
    <sortCondition ref="C4:C118"/>
  </sortState>
  <mergeCells count="6">
    <mergeCell ref="A1:J1"/>
    <mergeCell ref="A157:J157"/>
    <mergeCell ref="A2:J2"/>
    <mergeCell ref="A61:J61"/>
    <mergeCell ref="A97:J97"/>
    <mergeCell ref="A98:J98"/>
  </mergeCells>
  <phoneticPr fontId="1" type="noConversion"/>
  <conditionalFormatting sqref="J4:J60">
    <cfRule type="cellIs" dxfId="16" priority="4" operator="lessThan">
      <formula>60</formula>
    </cfRule>
    <cfRule type="cellIs" dxfId="15" priority="8" operator="lessThan">
      <formula>76.5</formula>
    </cfRule>
  </conditionalFormatting>
  <conditionalFormatting sqref="J63:J96">
    <cfRule type="cellIs" dxfId="14" priority="3" operator="lessThan">
      <formula>60</formula>
    </cfRule>
    <cfRule type="cellIs" dxfId="13" priority="6" operator="lessThan">
      <formula>38.25</formula>
    </cfRule>
  </conditionalFormatting>
  <conditionalFormatting sqref="J100:J156">
    <cfRule type="cellIs" dxfId="12" priority="2" operator="lessThan">
      <formula>60</formula>
    </cfRule>
    <cfRule type="cellIs" dxfId="11" priority="7" operator="lessThan">
      <formula>76.5</formula>
    </cfRule>
  </conditionalFormatting>
  <conditionalFormatting sqref="J158:J191">
    <cfRule type="cellIs" dxfId="10" priority="1" operator="lessThan">
      <formula>60</formula>
    </cfRule>
    <cfRule type="cellIs" dxfId="9" priority="5" operator="lessThan">
      <formula>48</formula>
    </cfRule>
  </conditionalFormatting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8DAD-9BAF-424F-B419-57A7EBFE3597}">
  <dimension ref="A1:N229"/>
  <sheetViews>
    <sheetView topLeftCell="A164" zoomScale="40" zoomScaleNormal="40" workbookViewId="0">
      <selection activeCell="I51" sqref="I51"/>
    </sheetView>
  </sheetViews>
  <sheetFormatPr defaultRowHeight="13.5" x14ac:dyDescent="0.3"/>
  <cols>
    <col min="1" max="1" width="68.1328125" customWidth="1"/>
    <col min="2" max="2" width="40.59765625" customWidth="1"/>
    <col min="3" max="7" width="35.59765625" style="1" customWidth="1"/>
    <col min="8" max="8" width="35.59765625" style="9" customWidth="1"/>
    <col min="9" max="9" width="35.59765625" style="14" customWidth="1"/>
    <col min="10" max="10" width="35.59765625" customWidth="1"/>
    <col min="11" max="14" width="13.59765625" customWidth="1"/>
  </cols>
  <sheetData>
    <row r="1" spans="1:14" ht="122.25" customHeight="1" x14ac:dyDescent="0.3">
      <c r="A1" s="25" t="s">
        <v>48</v>
      </c>
      <c r="B1" s="26"/>
      <c r="C1" s="26"/>
      <c r="D1" s="26"/>
      <c r="E1" s="26"/>
      <c r="F1" s="26"/>
      <c r="G1" s="26"/>
      <c r="H1" s="26"/>
      <c r="I1" s="26"/>
      <c r="J1" s="26"/>
    </row>
    <row r="2" spans="1:14" s="3" customFormat="1" ht="45" customHeight="1" x14ac:dyDescent="0.3">
      <c r="A2" s="23" t="s">
        <v>6</v>
      </c>
      <c r="B2" s="24"/>
      <c r="C2" s="24"/>
      <c r="D2" s="24"/>
      <c r="E2" s="24"/>
      <c r="F2" s="24"/>
      <c r="G2" s="24"/>
      <c r="H2" s="24"/>
      <c r="I2" s="24"/>
      <c r="J2" s="24"/>
    </row>
    <row r="3" spans="1:14" s="3" customFormat="1" ht="45" customHeight="1" x14ac:dyDescent="0.3">
      <c r="A3" s="6" t="s">
        <v>4</v>
      </c>
      <c r="B3" s="2" t="s">
        <v>1</v>
      </c>
      <c r="C3" s="2" t="s">
        <v>7</v>
      </c>
      <c r="D3" s="2" t="s">
        <v>2</v>
      </c>
      <c r="E3" s="2" t="s">
        <v>3</v>
      </c>
      <c r="F3" s="2" t="s">
        <v>5</v>
      </c>
      <c r="G3" s="2" t="s">
        <v>0</v>
      </c>
      <c r="H3" s="8" t="s">
        <v>53</v>
      </c>
      <c r="I3" s="8" t="s">
        <v>55</v>
      </c>
      <c r="J3" s="8" t="s">
        <v>58</v>
      </c>
    </row>
    <row r="4" spans="1:14" x14ac:dyDescent="0.3">
      <c r="A4" s="4" t="s">
        <v>39</v>
      </c>
      <c r="B4" s="4" t="s">
        <v>93</v>
      </c>
      <c r="C4" s="12">
        <v>3</v>
      </c>
      <c r="D4" s="4">
        <v>71535093874.699295</v>
      </c>
      <c r="E4" s="4">
        <v>1317775039.4036</v>
      </c>
      <c r="F4" s="4">
        <v>357675469.37349999</v>
      </c>
      <c r="G4" s="4">
        <v>6588.8751969999994</v>
      </c>
      <c r="H4" s="11">
        <v>11.341814731528935</v>
      </c>
      <c r="I4" s="11">
        <v>580.93659197973739</v>
      </c>
      <c r="J4" s="1">
        <v>92</v>
      </c>
      <c r="K4" t="str">
        <f>ROUND(AVERAGE(G4:G60),2)&amp;"±"&amp;ROUND(_xlfn.STDEV.P(G4:G60),2)</f>
        <v>2882.25±1443.49</v>
      </c>
      <c r="L4" t="str">
        <f>ROUND(AVERAGE(H4:H60),2)&amp;"±"&amp;ROUND(_xlfn.STDEV.P(H4:H60),2)</f>
        <v>10.37±4.49</v>
      </c>
      <c r="M4" t="str">
        <f>ROUND(AVERAGE(I4:I60),2)&amp;"±"&amp;ROUND(_xlfn.STDEV.P(I4:I60),2)</f>
        <v>346.62±244.33</v>
      </c>
      <c r="N4" t="str">
        <f>ROUND(AVERAGE(J4:J60),2)&amp;"±"&amp;ROUND(_xlfn.STDEV.P(J4:J60),2)</f>
        <v>63.79±21.48</v>
      </c>
    </row>
    <row r="5" spans="1:14" x14ac:dyDescent="0.3">
      <c r="A5" s="4" t="s">
        <v>25</v>
      </c>
      <c r="B5" s="4" t="s">
        <v>109</v>
      </c>
      <c r="C5" s="4">
        <v>21</v>
      </c>
      <c r="D5" s="4">
        <v>39139923032.069901</v>
      </c>
      <c r="E5" s="4">
        <v>1125057389.3789999</v>
      </c>
      <c r="F5" s="4">
        <v>195699615.16029999</v>
      </c>
      <c r="G5" s="4">
        <v>5625.2869468999997</v>
      </c>
      <c r="H5" s="11">
        <v>6.2055940880374649</v>
      </c>
      <c r="I5" s="11">
        <v>906.48644869374812</v>
      </c>
      <c r="J5" s="1">
        <v>78.5</v>
      </c>
    </row>
    <row r="6" spans="1:14" x14ac:dyDescent="0.3">
      <c r="A6" s="4" t="s">
        <v>9</v>
      </c>
      <c r="B6" s="4" t="s">
        <v>138</v>
      </c>
      <c r="C6" s="4">
        <v>1</v>
      </c>
      <c r="D6" s="4">
        <v>65269225906.536499</v>
      </c>
      <c r="E6" s="4">
        <v>980875394.71560001</v>
      </c>
      <c r="F6" s="4">
        <v>326346129.5327</v>
      </c>
      <c r="G6" s="4">
        <v>4904.3769736000004</v>
      </c>
      <c r="H6" s="11">
        <v>10.348367882188056</v>
      </c>
      <c r="I6" s="11">
        <v>473.92758253613812</v>
      </c>
      <c r="J6" s="1">
        <v>72.5</v>
      </c>
    </row>
    <row r="7" spans="1:14" x14ac:dyDescent="0.3">
      <c r="A7" s="4" t="s">
        <v>26</v>
      </c>
      <c r="B7" s="4" t="s">
        <v>145</v>
      </c>
      <c r="C7" s="4">
        <v>7.6</v>
      </c>
      <c r="D7" s="4">
        <v>28216532148.496498</v>
      </c>
      <c r="E7" s="4">
        <v>972044895.34730005</v>
      </c>
      <c r="F7" s="4">
        <v>141082660.74250001</v>
      </c>
      <c r="G7" s="4">
        <v>4860.2244767000002</v>
      </c>
      <c r="H7" s="11">
        <v>4.4737018246601501</v>
      </c>
      <c r="I7" s="11">
        <v>1086.398840868035</v>
      </c>
      <c r="J7" s="1">
        <v>83</v>
      </c>
    </row>
    <row r="8" spans="1:14" x14ac:dyDescent="0.3">
      <c r="A8" s="4" t="s">
        <v>9</v>
      </c>
      <c r="B8" s="4" t="s">
        <v>185</v>
      </c>
      <c r="C8" s="4">
        <v>1.5</v>
      </c>
      <c r="D8" s="4">
        <v>48142916363.633698</v>
      </c>
      <c r="E8" s="4">
        <v>922160706.03050005</v>
      </c>
      <c r="F8" s="4">
        <v>240714581.81819999</v>
      </c>
      <c r="G8" s="4">
        <v>4610.8035301999998</v>
      </c>
      <c r="H8" s="11">
        <v>7.6330093169130038</v>
      </c>
      <c r="I8" s="11">
        <v>604.06103789019528</v>
      </c>
      <c r="J8" s="1">
        <v>73</v>
      </c>
    </row>
    <row r="9" spans="1:14" x14ac:dyDescent="0.3">
      <c r="A9" s="4" t="s">
        <v>10</v>
      </c>
      <c r="B9" s="4" t="s">
        <v>115</v>
      </c>
      <c r="C9" s="4">
        <v>1.5</v>
      </c>
      <c r="D9" s="4">
        <v>109674627357.2733</v>
      </c>
      <c r="E9" s="4">
        <v>921164331.26769996</v>
      </c>
      <c r="F9" s="4">
        <v>548373136.78639996</v>
      </c>
      <c r="G9" s="4">
        <v>4605.8216562999996</v>
      </c>
      <c r="H9" s="11">
        <v>17.388798096980164</v>
      </c>
      <c r="I9" s="11">
        <v>264.87291592050127</v>
      </c>
      <c r="J9" s="1">
        <v>71</v>
      </c>
    </row>
    <row r="10" spans="1:14" x14ac:dyDescent="0.3">
      <c r="A10" s="4" t="s">
        <v>10</v>
      </c>
      <c r="B10" s="4" t="s">
        <v>96</v>
      </c>
      <c r="C10" s="4">
        <v>3</v>
      </c>
      <c r="D10" s="4">
        <v>90886949006.895996</v>
      </c>
      <c r="E10" s="4">
        <v>915626035.10020006</v>
      </c>
      <c r="F10" s="4">
        <v>454434745.0345</v>
      </c>
      <c r="G10" s="4">
        <v>4578.1301754999986</v>
      </c>
      <c r="H10" s="11">
        <v>14.410031235238456</v>
      </c>
      <c r="I10" s="11">
        <v>317.70438944674777</v>
      </c>
      <c r="J10" s="1">
        <v>59.5</v>
      </c>
    </row>
    <row r="11" spans="1:14" x14ac:dyDescent="0.3">
      <c r="A11" s="4" t="s">
        <v>26</v>
      </c>
      <c r="B11" s="4" t="s">
        <v>130</v>
      </c>
      <c r="C11" s="4">
        <v>4.3</v>
      </c>
      <c r="D11" s="4">
        <v>43828739393.256203</v>
      </c>
      <c r="E11" s="4">
        <v>897670270.54100001</v>
      </c>
      <c r="F11" s="4">
        <v>219143696.96630001</v>
      </c>
      <c r="G11" s="4">
        <v>4488.3513526999996</v>
      </c>
      <c r="H11" s="11">
        <v>6.9490010453539135</v>
      </c>
      <c r="I11" s="11">
        <v>645.89878795613379</v>
      </c>
      <c r="J11" s="1">
        <v>80.5</v>
      </c>
    </row>
    <row r="12" spans="1:14" x14ac:dyDescent="0.3">
      <c r="A12" s="4" t="s">
        <v>10</v>
      </c>
      <c r="B12" s="4" t="s">
        <v>103</v>
      </c>
      <c r="C12" s="4">
        <v>3</v>
      </c>
      <c r="D12" s="4">
        <v>98018927667.046997</v>
      </c>
      <c r="E12" s="4">
        <v>896574065.44920003</v>
      </c>
      <c r="F12" s="4">
        <v>490094638.33520001</v>
      </c>
      <c r="G12" s="4">
        <v>4482.8703272000002</v>
      </c>
      <c r="H12" s="11">
        <v>15.540799033968639</v>
      </c>
      <c r="I12" s="11">
        <v>288.45816211904349</v>
      </c>
      <c r="J12" s="1">
        <v>50.5</v>
      </c>
    </row>
    <row r="13" spans="1:14" x14ac:dyDescent="0.3">
      <c r="A13" s="4" t="s">
        <v>9</v>
      </c>
      <c r="B13" s="4" t="s">
        <v>135</v>
      </c>
      <c r="C13" s="4">
        <v>8</v>
      </c>
      <c r="D13" s="4">
        <v>37270088239.509003</v>
      </c>
      <c r="E13" s="4">
        <v>865638404.33889997</v>
      </c>
      <c r="F13" s="4">
        <v>186350441.19749999</v>
      </c>
      <c r="G13" s="4">
        <v>4328.1920217000006</v>
      </c>
      <c r="H13" s="11">
        <v>5.9091337264569068</v>
      </c>
      <c r="I13" s="11">
        <v>732.45795780884578</v>
      </c>
      <c r="J13" s="1">
        <v>81</v>
      </c>
    </row>
    <row r="14" spans="1:14" x14ac:dyDescent="0.3">
      <c r="A14" s="4" t="s">
        <v>9</v>
      </c>
      <c r="B14" s="4" t="s">
        <v>136</v>
      </c>
      <c r="C14" s="4">
        <v>2</v>
      </c>
      <c r="D14" s="4">
        <v>83828958615.0354</v>
      </c>
      <c r="E14" s="4">
        <v>815895851.87059999</v>
      </c>
      <c r="F14" s="4">
        <v>419144793.07520002</v>
      </c>
      <c r="G14" s="4">
        <v>4079.4792594</v>
      </c>
      <c r="H14" s="11">
        <v>13.290994199491914</v>
      </c>
      <c r="I14" s="11">
        <v>306.93559850894746</v>
      </c>
      <c r="J14" s="1">
        <v>60</v>
      </c>
    </row>
    <row r="15" spans="1:14" x14ac:dyDescent="0.3">
      <c r="A15" s="4" t="s">
        <v>27</v>
      </c>
      <c r="B15" s="4" t="s">
        <v>98</v>
      </c>
      <c r="C15" s="4">
        <v>8.6</v>
      </c>
      <c r="D15" s="4">
        <v>41928984168.166199</v>
      </c>
      <c r="E15" s="4">
        <v>811610658.05449998</v>
      </c>
      <c r="F15" s="4">
        <v>209644920.84079999</v>
      </c>
      <c r="G15" s="4">
        <v>4058.0532902999998</v>
      </c>
      <c r="H15" s="11">
        <v>6.6477968303155439</v>
      </c>
      <c r="I15" s="11">
        <v>610.43581714084678</v>
      </c>
      <c r="J15" s="1">
        <v>87</v>
      </c>
    </row>
    <row r="16" spans="1:14" x14ac:dyDescent="0.3">
      <c r="A16" s="4" t="s">
        <v>10</v>
      </c>
      <c r="B16" s="4" t="s">
        <v>99</v>
      </c>
      <c r="C16" s="4">
        <v>8</v>
      </c>
      <c r="D16" s="4">
        <v>37362074902.573402</v>
      </c>
      <c r="E16" s="4">
        <v>811196010.89750004</v>
      </c>
      <c r="F16" s="4">
        <v>186810374.51289999</v>
      </c>
      <c r="G16" s="4">
        <v>4055.9800544999998</v>
      </c>
      <c r="H16" s="11">
        <v>5.9237181162121706</v>
      </c>
      <c r="I16" s="11">
        <v>684.70173207592347</v>
      </c>
      <c r="J16" s="1">
        <v>81.5</v>
      </c>
    </row>
    <row r="17" spans="1:10" x14ac:dyDescent="0.3">
      <c r="A17" s="4" t="s">
        <v>27</v>
      </c>
      <c r="B17" s="4" t="s">
        <v>101</v>
      </c>
      <c r="C17" s="4">
        <v>5.5</v>
      </c>
      <c r="D17" s="4">
        <v>58999450486.739998</v>
      </c>
      <c r="E17" s="4">
        <v>810525886.41559994</v>
      </c>
      <c r="F17" s="4">
        <v>294997252.43370003</v>
      </c>
      <c r="G17" s="4">
        <v>4052.6294321</v>
      </c>
      <c r="H17" s="11">
        <v>9.354301510454718</v>
      </c>
      <c r="I17" s="11">
        <v>433.23699023071146</v>
      </c>
      <c r="J17" s="1">
        <v>74.5</v>
      </c>
    </row>
    <row r="18" spans="1:10" x14ac:dyDescent="0.3">
      <c r="A18" s="4" t="s">
        <v>27</v>
      </c>
      <c r="B18" s="4" t="s">
        <v>104</v>
      </c>
      <c r="C18" s="4">
        <v>4.3</v>
      </c>
      <c r="D18" s="4">
        <v>43401025200.354202</v>
      </c>
      <c r="E18" s="4">
        <v>803542540.68910003</v>
      </c>
      <c r="F18" s="4">
        <v>217005126.0018</v>
      </c>
      <c r="G18" s="4">
        <v>4017.7127034</v>
      </c>
      <c r="H18" s="11">
        <v>6.8811874049267825</v>
      </c>
      <c r="I18" s="11">
        <v>583.86910092339645</v>
      </c>
      <c r="J18" s="1">
        <v>86.5</v>
      </c>
    </row>
    <row r="19" spans="1:10" x14ac:dyDescent="0.3">
      <c r="A19" s="4" t="s">
        <v>9</v>
      </c>
      <c r="B19" s="4" t="s">
        <v>131</v>
      </c>
      <c r="C19" s="4">
        <v>3</v>
      </c>
      <c r="D19" s="4">
        <v>80001896916.8246</v>
      </c>
      <c r="E19" s="4">
        <v>797362073.94490004</v>
      </c>
      <c r="F19" s="4">
        <v>400009484.58410001</v>
      </c>
      <c r="G19" s="4">
        <v>3986.8103697000001</v>
      </c>
      <c r="H19" s="11">
        <v>12.684217547695427</v>
      </c>
      <c r="I19" s="11">
        <v>314.3126767345895</v>
      </c>
      <c r="J19" s="1">
        <v>69.5</v>
      </c>
    </row>
    <row r="20" spans="1:10" x14ac:dyDescent="0.3">
      <c r="A20" s="4" t="s">
        <v>26</v>
      </c>
      <c r="B20" s="4" t="s">
        <v>132</v>
      </c>
      <c r="C20" s="4">
        <v>1.5</v>
      </c>
      <c r="D20" s="4">
        <v>83620297936.488098</v>
      </c>
      <c r="E20" s="4">
        <v>793739048.90690005</v>
      </c>
      <c r="F20" s="4">
        <v>418101489.68239999</v>
      </c>
      <c r="G20" s="4">
        <v>3968.6952445000002</v>
      </c>
      <c r="H20" s="11">
        <v>13.257911265932284</v>
      </c>
      <c r="I20" s="11">
        <v>299.34543721815481</v>
      </c>
      <c r="J20" s="1">
        <v>67</v>
      </c>
    </row>
    <row r="21" spans="1:10" x14ac:dyDescent="0.3">
      <c r="A21" s="4" t="s">
        <v>22</v>
      </c>
      <c r="B21" s="4" t="s">
        <v>133</v>
      </c>
      <c r="C21" s="4">
        <v>2</v>
      </c>
      <c r="D21" s="4">
        <v>56145256514.999397</v>
      </c>
      <c r="E21" s="4">
        <v>758064350.70790005</v>
      </c>
      <c r="F21" s="4">
        <v>280726282.57499999</v>
      </c>
      <c r="G21" s="4">
        <v>3790.3217534999999</v>
      </c>
      <c r="H21" s="11">
        <v>8.9017720248286718</v>
      </c>
      <c r="I21" s="11">
        <v>425.79407144196671</v>
      </c>
      <c r="J21" s="1">
        <v>32.5</v>
      </c>
    </row>
    <row r="22" spans="1:10" x14ac:dyDescent="0.3">
      <c r="A22" s="4" t="s">
        <v>10</v>
      </c>
      <c r="B22" s="4" t="s">
        <v>100</v>
      </c>
      <c r="C22" s="4">
        <v>1.5</v>
      </c>
      <c r="D22" s="4">
        <v>49811865952.438797</v>
      </c>
      <c r="E22" s="4">
        <v>757901726.30340004</v>
      </c>
      <c r="F22" s="4">
        <v>249059329.7622</v>
      </c>
      <c r="G22" s="4">
        <v>3789.5086314999999</v>
      </c>
      <c r="H22" s="11">
        <v>7.8976195383749994</v>
      </c>
      <c r="I22" s="11">
        <v>479.82922108194168</v>
      </c>
      <c r="J22" s="1">
        <v>70</v>
      </c>
    </row>
    <row r="23" spans="1:10" x14ac:dyDescent="0.3">
      <c r="A23" s="4" t="s">
        <v>27</v>
      </c>
      <c r="B23" s="4" t="s">
        <v>110</v>
      </c>
      <c r="C23" s="4">
        <v>7.6</v>
      </c>
      <c r="D23" s="4">
        <v>27935303432.609699</v>
      </c>
      <c r="E23" s="4">
        <v>745876368.29050004</v>
      </c>
      <c r="F23" s="4">
        <v>139676517.16299999</v>
      </c>
      <c r="G23" s="4">
        <v>3729.3818415000001</v>
      </c>
      <c r="H23" s="11">
        <v>4.4291133042569921</v>
      </c>
      <c r="I23" s="11">
        <v>842.01545214829946</v>
      </c>
      <c r="J23" s="1">
        <v>95.5</v>
      </c>
    </row>
    <row r="24" spans="1:10" x14ac:dyDescent="0.3">
      <c r="A24" s="4" t="s">
        <v>36</v>
      </c>
      <c r="B24" s="4" t="s">
        <v>141</v>
      </c>
      <c r="C24" s="4">
        <v>1.5</v>
      </c>
      <c r="D24" s="4">
        <v>31568328002.674099</v>
      </c>
      <c r="E24" s="4">
        <v>745135811.66470003</v>
      </c>
      <c r="F24" s="4">
        <v>157841640.01339999</v>
      </c>
      <c r="G24" s="4">
        <v>3725.6790583000002</v>
      </c>
      <c r="H24" s="11">
        <v>5.0051255712002316</v>
      </c>
      <c r="I24" s="11">
        <v>744.37274455964962</v>
      </c>
      <c r="J24" s="1">
        <v>90</v>
      </c>
    </row>
    <row r="25" spans="1:10" x14ac:dyDescent="0.3">
      <c r="A25" s="4" t="s">
        <v>27</v>
      </c>
      <c r="B25" s="4" t="s">
        <v>112</v>
      </c>
      <c r="C25" s="4">
        <v>3.5</v>
      </c>
      <c r="D25" s="4">
        <v>65646382467.431702</v>
      </c>
      <c r="E25" s="4">
        <v>712253059.64160001</v>
      </c>
      <c r="F25" s="4">
        <v>328231912.33719999</v>
      </c>
      <c r="G25" s="4">
        <v>3561.2652982</v>
      </c>
      <c r="H25" s="11">
        <v>10.408165662644549</v>
      </c>
      <c r="I25" s="11">
        <v>342.16070474181316</v>
      </c>
      <c r="J25" s="1">
        <v>78.5</v>
      </c>
    </row>
    <row r="26" spans="1:10" x14ac:dyDescent="0.3">
      <c r="A26" s="4" t="s">
        <v>26</v>
      </c>
      <c r="B26" s="4" t="s">
        <v>134</v>
      </c>
      <c r="C26" s="4">
        <v>5.5</v>
      </c>
      <c r="D26" s="4">
        <v>57074638351.847198</v>
      </c>
      <c r="E26" s="4">
        <v>706566806.53750002</v>
      </c>
      <c r="F26" s="4">
        <v>285373191.75919998</v>
      </c>
      <c r="G26" s="4">
        <v>3532.8340327000001</v>
      </c>
      <c r="H26" s="11">
        <v>9.0491245484283365</v>
      </c>
      <c r="I26" s="11">
        <v>390.40616733621897</v>
      </c>
      <c r="J26" s="1">
        <v>78</v>
      </c>
    </row>
    <row r="27" spans="1:10" x14ac:dyDescent="0.3">
      <c r="A27" s="4" t="s">
        <v>22</v>
      </c>
      <c r="B27" s="4" t="s">
        <v>137</v>
      </c>
      <c r="C27" s="4">
        <v>15</v>
      </c>
      <c r="D27" s="4">
        <v>63350885323.350601</v>
      </c>
      <c r="E27" s="4">
        <v>659143150.10780001</v>
      </c>
      <c r="F27" s="4">
        <v>316754426.61680001</v>
      </c>
      <c r="G27" s="4">
        <v>3295.7157505</v>
      </c>
      <c r="H27" s="11">
        <v>10.044216977953862</v>
      </c>
      <c r="I27" s="11">
        <v>328.12072436644831</v>
      </c>
      <c r="J27" s="1">
        <v>95</v>
      </c>
    </row>
    <row r="28" spans="1:10" x14ac:dyDescent="0.3">
      <c r="A28" s="4" t="s">
        <v>22</v>
      </c>
      <c r="B28" s="4" t="s">
        <v>140</v>
      </c>
      <c r="C28" s="4">
        <v>2</v>
      </c>
      <c r="D28" s="4">
        <v>65936821792.260498</v>
      </c>
      <c r="E28" s="4">
        <v>647241865.49030006</v>
      </c>
      <c r="F28" s="4">
        <v>329684108.96130002</v>
      </c>
      <c r="G28" s="4">
        <v>3236.2093275000002</v>
      </c>
      <c r="H28" s="11">
        <v>10.45421451551568</v>
      </c>
      <c r="I28" s="11">
        <v>309.56025655461366</v>
      </c>
      <c r="J28" s="1">
        <v>46.5</v>
      </c>
    </row>
    <row r="29" spans="1:10" x14ac:dyDescent="0.3">
      <c r="A29" s="4" t="s">
        <v>27</v>
      </c>
      <c r="B29" s="4" t="s">
        <v>114</v>
      </c>
      <c r="C29" s="4">
        <v>5</v>
      </c>
      <c r="D29" s="4">
        <v>103940295257.7715</v>
      </c>
      <c r="E29" s="4">
        <v>639729571.78919995</v>
      </c>
      <c r="F29" s="4">
        <v>519701476.28890002</v>
      </c>
      <c r="G29" s="4">
        <v>3198.6478588999998</v>
      </c>
      <c r="H29" s="11">
        <v>16.479625706775035</v>
      </c>
      <c r="I29" s="11">
        <v>194.09711821215606</v>
      </c>
      <c r="J29" s="1">
        <v>72</v>
      </c>
    </row>
    <row r="30" spans="1:10" x14ac:dyDescent="0.3">
      <c r="A30" s="4" t="s">
        <v>24</v>
      </c>
      <c r="B30" s="4" t="s">
        <v>150</v>
      </c>
      <c r="C30" s="4">
        <v>1.5</v>
      </c>
      <c r="D30" s="4">
        <v>27073326746.628799</v>
      </c>
      <c r="E30" s="4">
        <v>625773142.38300002</v>
      </c>
      <c r="F30" s="4">
        <v>135366633.7331</v>
      </c>
      <c r="G30" s="4">
        <v>3128.8657119</v>
      </c>
      <c r="H30" s="11">
        <v>4.2924477972204462</v>
      </c>
      <c r="I30" s="11">
        <v>728.92341612775851</v>
      </c>
      <c r="J30" s="1">
        <v>88</v>
      </c>
    </row>
    <row r="31" spans="1:10" x14ac:dyDescent="0.3">
      <c r="A31" s="4" t="s">
        <v>24</v>
      </c>
      <c r="B31" s="4" t="s">
        <v>149</v>
      </c>
      <c r="C31" s="4">
        <v>7</v>
      </c>
      <c r="D31" s="4">
        <v>42023423233.483498</v>
      </c>
      <c r="E31" s="4">
        <v>623700517.78750002</v>
      </c>
      <c r="F31" s="4">
        <v>210117116.1674</v>
      </c>
      <c r="G31" s="4">
        <v>3118.5025888999999</v>
      </c>
      <c r="H31" s="11">
        <v>6.6627700458973074</v>
      </c>
      <c r="I31" s="11">
        <v>468.04895972963391</v>
      </c>
      <c r="J31" s="1">
        <v>84</v>
      </c>
    </row>
    <row r="32" spans="1:10" x14ac:dyDescent="0.3">
      <c r="A32" s="4" t="s">
        <v>27</v>
      </c>
      <c r="B32" s="4" t="s">
        <v>105</v>
      </c>
      <c r="C32" s="4">
        <v>18</v>
      </c>
      <c r="D32" s="4">
        <v>96751187702.244705</v>
      </c>
      <c r="E32" s="4">
        <v>608523031.79620004</v>
      </c>
      <c r="F32" s="4">
        <v>483755938.51120001</v>
      </c>
      <c r="G32" s="4">
        <v>3042.6151589999999</v>
      </c>
      <c r="H32" s="11">
        <v>15.33980018110171</v>
      </c>
      <c r="I32" s="11">
        <v>198.34777005429532</v>
      </c>
      <c r="J32" s="1">
        <v>46.5</v>
      </c>
    </row>
    <row r="33" spans="1:10" x14ac:dyDescent="0.3">
      <c r="A33" s="4" t="s">
        <v>23</v>
      </c>
      <c r="B33" s="4" t="s">
        <v>97</v>
      </c>
      <c r="C33" s="4">
        <v>15</v>
      </c>
      <c r="D33" s="4">
        <v>52190580098.233101</v>
      </c>
      <c r="E33" s="4">
        <v>601582091.4174</v>
      </c>
      <c r="F33" s="4">
        <v>260952900.4912</v>
      </c>
      <c r="G33" s="4">
        <v>3007.9104570999998</v>
      </c>
      <c r="H33" s="11">
        <v>8.2747621921348777</v>
      </c>
      <c r="I33" s="11">
        <v>363.50415725046508</v>
      </c>
      <c r="J33" s="1">
        <v>46.5</v>
      </c>
    </row>
    <row r="34" spans="1:10" x14ac:dyDescent="0.3">
      <c r="A34" s="4" t="s">
        <v>37</v>
      </c>
      <c r="B34" s="4" t="s">
        <v>148</v>
      </c>
      <c r="C34" s="4">
        <v>10</v>
      </c>
      <c r="D34" s="4">
        <v>33829350826.1604</v>
      </c>
      <c r="E34" s="4">
        <v>586861194.23409998</v>
      </c>
      <c r="F34" s="4">
        <v>169146754.13080001</v>
      </c>
      <c r="G34" s="4">
        <v>2934.3059711999999</v>
      </c>
      <c r="H34" s="11">
        <v>5.3636083882167052</v>
      </c>
      <c r="I34" s="11">
        <v>547.07684804997461</v>
      </c>
      <c r="J34" s="1">
        <v>84</v>
      </c>
    </row>
    <row r="35" spans="1:10" x14ac:dyDescent="0.3">
      <c r="A35" s="4" t="s">
        <v>39</v>
      </c>
      <c r="B35" s="4" t="s">
        <v>108</v>
      </c>
      <c r="C35" s="4">
        <v>2</v>
      </c>
      <c r="D35" s="4">
        <v>98784632596.026901</v>
      </c>
      <c r="E35" s="4">
        <v>551684297.76660001</v>
      </c>
      <c r="F35" s="4">
        <v>493923162.98009998</v>
      </c>
      <c r="G35" s="4">
        <v>2758.4214888000001</v>
      </c>
      <c r="H35" s="11">
        <v>15.662200754063118</v>
      </c>
      <c r="I35" s="11">
        <v>176.11966109452436</v>
      </c>
      <c r="J35" s="1">
        <v>66</v>
      </c>
    </row>
    <row r="36" spans="1:10" x14ac:dyDescent="0.3">
      <c r="A36" s="4" t="s">
        <v>35</v>
      </c>
      <c r="B36" s="4" t="s">
        <v>106</v>
      </c>
      <c r="C36" s="4">
        <v>1.5</v>
      </c>
      <c r="D36" s="4">
        <v>30488593043.304901</v>
      </c>
      <c r="E36" s="4">
        <v>549118040.85389996</v>
      </c>
      <c r="F36" s="4">
        <v>152442965.21650001</v>
      </c>
      <c r="G36" s="4">
        <v>2745.5902043000001</v>
      </c>
      <c r="H36" s="11">
        <v>4.8339347164042525</v>
      </c>
      <c r="I36" s="11">
        <v>567.98247501826449</v>
      </c>
      <c r="J36" s="1">
        <v>74.5</v>
      </c>
    </row>
    <row r="37" spans="1:10" x14ac:dyDescent="0.3">
      <c r="A37" s="4" t="s">
        <v>26</v>
      </c>
      <c r="B37" s="4" t="s">
        <v>144</v>
      </c>
      <c r="C37" s="4">
        <v>1</v>
      </c>
      <c r="D37" s="4">
        <v>96328429662.1996</v>
      </c>
      <c r="E37" s="4">
        <v>525794921.54659998</v>
      </c>
      <c r="F37" s="4">
        <v>481642148.31099999</v>
      </c>
      <c r="G37" s="4">
        <v>2628.9746077</v>
      </c>
      <c r="H37" s="11">
        <v>15.272772333555238</v>
      </c>
      <c r="I37" s="11">
        <v>172.13473430255868</v>
      </c>
      <c r="J37" s="1">
        <v>55.5</v>
      </c>
    </row>
    <row r="38" spans="1:10" x14ac:dyDescent="0.3">
      <c r="A38" s="4" t="s">
        <v>27</v>
      </c>
      <c r="B38" s="4" t="s">
        <v>116</v>
      </c>
      <c r="C38" s="4">
        <v>1</v>
      </c>
      <c r="D38" s="4">
        <v>125252369384.1808</v>
      </c>
      <c r="E38" s="4">
        <v>488467064.43300003</v>
      </c>
      <c r="F38" s="4">
        <v>626261846.92089999</v>
      </c>
      <c r="G38" s="4">
        <v>2442.3353222000001</v>
      </c>
      <c r="H38" s="11">
        <v>19.858632893230087</v>
      </c>
      <c r="I38" s="11">
        <v>122.98607539256165</v>
      </c>
      <c r="J38" s="1">
        <v>77</v>
      </c>
    </row>
    <row r="39" spans="1:10" x14ac:dyDescent="0.3">
      <c r="A39" s="4" t="s">
        <v>37</v>
      </c>
      <c r="B39" s="4" t="s">
        <v>142</v>
      </c>
      <c r="C39" s="4">
        <v>3</v>
      </c>
      <c r="D39" s="4">
        <v>78717340743.678497</v>
      </c>
      <c r="E39" s="4">
        <v>433716449.75230002</v>
      </c>
      <c r="F39" s="4">
        <v>393586703.7184</v>
      </c>
      <c r="G39" s="4">
        <v>2168.5822487999999</v>
      </c>
      <c r="H39" s="11">
        <v>12.480552502485809</v>
      </c>
      <c r="I39" s="11">
        <v>173.75691087137957</v>
      </c>
      <c r="J39" s="1">
        <v>46</v>
      </c>
    </row>
    <row r="40" spans="1:10" x14ac:dyDescent="0.3">
      <c r="A40" s="4" t="s">
        <v>24</v>
      </c>
      <c r="B40" s="4" t="s">
        <v>143</v>
      </c>
      <c r="C40" s="4">
        <v>3</v>
      </c>
      <c r="D40" s="4">
        <v>53506662741.784103</v>
      </c>
      <c r="E40" s="4">
        <v>426457890.55449998</v>
      </c>
      <c r="F40" s="4">
        <v>267533313.7089</v>
      </c>
      <c r="G40" s="4">
        <v>2132.2894528000002</v>
      </c>
      <c r="H40" s="11">
        <v>8.4834257264371047</v>
      </c>
      <c r="I40" s="11">
        <v>251.34768919530879</v>
      </c>
      <c r="J40" s="1">
        <v>61</v>
      </c>
    </row>
    <row r="41" spans="1:10" x14ac:dyDescent="0.3">
      <c r="A41" s="4" t="s">
        <v>27</v>
      </c>
      <c r="B41" s="4" t="s">
        <v>102</v>
      </c>
      <c r="C41" s="4">
        <v>1</v>
      </c>
      <c r="D41" s="4">
        <v>89199474103.173706</v>
      </c>
      <c r="E41" s="4">
        <v>426393851.68940002</v>
      </c>
      <c r="F41" s="4">
        <v>445997370.51590002</v>
      </c>
      <c r="G41" s="4">
        <v>2131.9692583999999</v>
      </c>
      <c r="H41" s="11">
        <v>14.142483844364172</v>
      </c>
      <c r="I41" s="11">
        <v>150.74928010256113</v>
      </c>
      <c r="J41" s="1">
        <v>74.5</v>
      </c>
    </row>
    <row r="42" spans="1:10" x14ac:dyDescent="0.3">
      <c r="A42" s="4" t="s">
        <v>26</v>
      </c>
      <c r="B42" s="4" t="s">
        <v>129</v>
      </c>
      <c r="C42" s="4">
        <v>1</v>
      </c>
      <c r="D42" s="4">
        <v>119696580086.78239</v>
      </c>
      <c r="E42" s="4">
        <v>416442772.37599999</v>
      </c>
      <c r="F42" s="4">
        <v>598482900.4339</v>
      </c>
      <c r="G42" s="4">
        <v>2082.2138619000002</v>
      </c>
      <c r="H42" s="11">
        <v>18.977768278599441</v>
      </c>
      <c r="I42" s="11">
        <v>109.71858394161336</v>
      </c>
      <c r="J42" s="1">
        <v>68.5</v>
      </c>
    </row>
    <row r="43" spans="1:10" x14ac:dyDescent="0.3">
      <c r="A43" s="4" t="s">
        <v>10</v>
      </c>
      <c r="B43" s="4" t="s">
        <v>113</v>
      </c>
      <c r="C43" s="4">
        <v>18</v>
      </c>
      <c r="D43" s="4">
        <v>78479502243.375</v>
      </c>
      <c r="E43" s="4">
        <v>409495250.18379998</v>
      </c>
      <c r="F43" s="4">
        <v>392397511.21689999</v>
      </c>
      <c r="G43" s="4">
        <v>2047.4762509</v>
      </c>
      <c r="H43" s="11">
        <v>12.442843455634037</v>
      </c>
      <c r="I43" s="11">
        <v>164.55051115932156</v>
      </c>
      <c r="J43" s="1">
        <v>93.5</v>
      </c>
    </row>
    <row r="44" spans="1:10" x14ac:dyDescent="0.3">
      <c r="A44" s="4" t="s">
        <v>24</v>
      </c>
      <c r="B44" s="4" t="s">
        <v>146</v>
      </c>
      <c r="C44" s="4">
        <v>1</v>
      </c>
      <c r="D44" s="4">
        <v>64791968559.940399</v>
      </c>
      <c r="E44" s="4">
        <v>403516972.45670003</v>
      </c>
      <c r="F44" s="4">
        <v>323959842.79970002</v>
      </c>
      <c r="G44" s="4">
        <v>2017.5848622999999</v>
      </c>
      <c r="H44" s="11">
        <v>10.272699226271627</v>
      </c>
      <c r="I44" s="11">
        <v>196.40260245721828</v>
      </c>
      <c r="J44" s="1">
        <v>49</v>
      </c>
    </row>
    <row r="45" spans="1:10" x14ac:dyDescent="0.3">
      <c r="A45" s="4" t="s">
        <v>24</v>
      </c>
      <c r="B45" s="4" t="s">
        <v>147</v>
      </c>
      <c r="C45" s="4">
        <v>2</v>
      </c>
      <c r="D45" s="4">
        <v>61957141561.486099</v>
      </c>
      <c r="E45" s="4">
        <v>373527712.62199998</v>
      </c>
      <c r="F45" s="4">
        <v>309785707.80739999</v>
      </c>
      <c r="G45" s="4">
        <v>1867.6385631000001</v>
      </c>
      <c r="H45" s="11">
        <v>9.8232403541168978</v>
      </c>
      <c r="I45" s="11">
        <v>190.12449006373717</v>
      </c>
      <c r="J45" s="1">
        <v>46.5</v>
      </c>
    </row>
    <row r="46" spans="1:10" x14ac:dyDescent="0.3">
      <c r="A46" s="4" t="s">
        <v>21</v>
      </c>
      <c r="B46" s="4" t="s">
        <v>95</v>
      </c>
      <c r="C46" s="4">
        <v>10</v>
      </c>
      <c r="D46" s="4">
        <v>22822826857.0434</v>
      </c>
      <c r="E46" s="4">
        <v>310047201.6171</v>
      </c>
      <c r="F46" s="4">
        <v>114114134.2852</v>
      </c>
      <c r="G46" s="4">
        <v>1550.2360080999999</v>
      </c>
      <c r="H46" s="11">
        <v>3.6185354605916094</v>
      </c>
      <c r="I46" s="11">
        <v>428.41531469931908</v>
      </c>
      <c r="J46" s="1">
        <v>90.5</v>
      </c>
    </row>
    <row r="47" spans="1:10" x14ac:dyDescent="0.3">
      <c r="A47" s="4" t="s">
        <v>39</v>
      </c>
      <c r="B47" s="4" t="s">
        <v>117</v>
      </c>
      <c r="C47" s="4">
        <v>2.2999999999999998</v>
      </c>
      <c r="D47" s="4">
        <v>61184028022.520599</v>
      </c>
      <c r="E47" s="4">
        <v>272166756.44129997</v>
      </c>
      <c r="F47" s="4">
        <v>305920140.11260003</v>
      </c>
      <c r="G47" s="4">
        <v>1360.8337822000001</v>
      </c>
      <c r="H47" s="11">
        <v>9.7006640066147583</v>
      </c>
      <c r="I47" s="11">
        <v>140.28253955317544</v>
      </c>
      <c r="J47" s="1">
        <v>50.5</v>
      </c>
    </row>
    <row r="48" spans="1:10" x14ac:dyDescent="0.3">
      <c r="A48" s="4" t="s">
        <v>38</v>
      </c>
      <c r="B48" s="4" t="s">
        <v>123</v>
      </c>
      <c r="C48" s="4">
        <v>7</v>
      </c>
      <c r="D48" s="4">
        <v>31033317841.314899</v>
      </c>
      <c r="E48" s="4">
        <v>251323843.40560001</v>
      </c>
      <c r="F48" s="4">
        <v>155166589.20660001</v>
      </c>
      <c r="G48" s="4">
        <v>1256.6192169999999</v>
      </c>
      <c r="H48" s="11">
        <v>4.9203002665707283</v>
      </c>
      <c r="I48" s="11">
        <v>255.39482326671461</v>
      </c>
      <c r="J48" s="1">
        <v>67.5</v>
      </c>
    </row>
    <row r="49" spans="1:14" x14ac:dyDescent="0.3">
      <c r="A49" s="4" t="s">
        <v>10</v>
      </c>
      <c r="B49" s="4" t="s">
        <v>107</v>
      </c>
      <c r="C49" s="4">
        <v>1.3</v>
      </c>
      <c r="D49" s="4">
        <v>35250945728.275597</v>
      </c>
      <c r="E49" s="4">
        <v>238768515.94119999</v>
      </c>
      <c r="F49" s="4">
        <v>176254728.64140001</v>
      </c>
      <c r="G49" s="4">
        <v>1193.8425797</v>
      </c>
      <c r="H49" s="11">
        <v>5.5890007813729703</v>
      </c>
      <c r="I49" s="11">
        <v>213.60572782148111</v>
      </c>
      <c r="J49" s="1">
        <v>41.5</v>
      </c>
    </row>
    <row r="50" spans="1:14" x14ac:dyDescent="0.3">
      <c r="A50" s="4" t="s">
        <v>38</v>
      </c>
      <c r="B50" s="4" t="s">
        <v>111</v>
      </c>
      <c r="C50" s="4">
        <v>15</v>
      </c>
      <c r="D50" s="4">
        <v>30479513080.106201</v>
      </c>
      <c r="E50" s="4">
        <v>236823349.6268</v>
      </c>
      <c r="F50" s="4">
        <v>152397565.4005</v>
      </c>
      <c r="G50" s="4">
        <v>1184.1167481</v>
      </c>
      <c r="H50" s="11">
        <v>4.8324950976829975</v>
      </c>
      <c r="I50" s="11">
        <v>245.03216747550147</v>
      </c>
      <c r="J50" s="1">
        <v>73</v>
      </c>
    </row>
    <row r="51" spans="1:14" x14ac:dyDescent="0.3">
      <c r="A51" s="4" t="s">
        <v>10</v>
      </c>
      <c r="B51" s="4" t="s">
        <v>128</v>
      </c>
      <c r="C51" s="4">
        <v>1.6</v>
      </c>
      <c r="D51" s="4">
        <v>137314933165.2139</v>
      </c>
      <c r="E51" s="4">
        <v>208238579.97569999</v>
      </c>
      <c r="F51" s="4">
        <v>686574665.82609999</v>
      </c>
      <c r="G51" s="4">
        <v>1041.1928998999999</v>
      </c>
      <c r="H51" s="11">
        <v>21.771139834667348</v>
      </c>
      <c r="I51" s="11">
        <v>47.824455118424844</v>
      </c>
      <c r="J51" s="1">
        <v>44.5</v>
      </c>
    </row>
    <row r="52" spans="1:14" x14ac:dyDescent="0.3">
      <c r="A52" s="4" t="s">
        <v>39</v>
      </c>
      <c r="B52" s="4" t="s">
        <v>120</v>
      </c>
      <c r="C52" s="4">
        <v>1</v>
      </c>
      <c r="D52" s="4">
        <v>86228745215.014206</v>
      </c>
      <c r="E52" s="4">
        <v>200003997.1293</v>
      </c>
      <c r="F52" s="4">
        <v>431143726.0751</v>
      </c>
      <c r="G52" s="4">
        <v>1000.0199856</v>
      </c>
      <c r="H52" s="11">
        <v>13.671477868945683</v>
      </c>
      <c r="I52" s="11">
        <v>73.146443653433607</v>
      </c>
      <c r="J52" s="1">
        <v>47</v>
      </c>
    </row>
    <row r="53" spans="1:14" x14ac:dyDescent="0.3">
      <c r="A53" s="4" t="s">
        <v>39</v>
      </c>
      <c r="B53" s="4" t="s">
        <v>121</v>
      </c>
      <c r="C53" s="4">
        <v>1.8</v>
      </c>
      <c r="D53" s="4">
        <v>70421212687.8125</v>
      </c>
      <c r="E53" s="4">
        <v>188705865.23050001</v>
      </c>
      <c r="F53" s="4">
        <v>352106063.43910003</v>
      </c>
      <c r="G53" s="4">
        <v>943.52932620000001</v>
      </c>
      <c r="H53" s="11">
        <v>11.165210027874888</v>
      </c>
      <c r="I53" s="11">
        <v>84.50618697224678</v>
      </c>
      <c r="J53" s="1">
        <v>45</v>
      </c>
    </row>
    <row r="54" spans="1:14" x14ac:dyDescent="0.3">
      <c r="A54" s="4" t="s">
        <v>39</v>
      </c>
      <c r="B54" s="4" t="s">
        <v>122</v>
      </c>
      <c r="C54" s="4">
        <v>1.3</v>
      </c>
      <c r="D54" s="4">
        <v>88104178976.530594</v>
      </c>
      <c r="E54" s="4">
        <v>185767917.28830001</v>
      </c>
      <c r="F54" s="4">
        <v>440520894.88270003</v>
      </c>
      <c r="G54" s="4">
        <v>928.83958640000003</v>
      </c>
      <c r="H54" s="11">
        <v>13.968825941230751</v>
      </c>
      <c r="I54" s="11">
        <v>66.493747599675714</v>
      </c>
      <c r="J54" s="1">
        <v>50.5</v>
      </c>
    </row>
    <row r="55" spans="1:14" x14ac:dyDescent="0.3">
      <c r="A55" s="4" t="s">
        <v>39</v>
      </c>
      <c r="B55" s="4" t="s">
        <v>119</v>
      </c>
      <c r="C55" s="4">
        <v>9.25</v>
      </c>
      <c r="D55" s="4">
        <v>81235129653.331802</v>
      </c>
      <c r="E55" s="4">
        <v>177691779.12180001</v>
      </c>
      <c r="F55" s="4">
        <v>406175648.26670003</v>
      </c>
      <c r="G55" s="4">
        <v>888.45889560000001</v>
      </c>
      <c r="H55" s="11">
        <v>12.879745315406488</v>
      </c>
      <c r="I55" s="11">
        <v>68.981091927124027</v>
      </c>
      <c r="J55" s="1">
        <v>41</v>
      </c>
    </row>
    <row r="56" spans="1:14" x14ac:dyDescent="0.3">
      <c r="A56" s="4" t="s">
        <v>39</v>
      </c>
      <c r="B56" s="4" t="s">
        <v>124</v>
      </c>
      <c r="C56" s="4">
        <v>1</v>
      </c>
      <c r="D56" s="4">
        <v>87698430213.496994</v>
      </c>
      <c r="E56" s="4">
        <v>158724760.35249999</v>
      </c>
      <c r="F56" s="4">
        <v>438492151.0675</v>
      </c>
      <c r="G56" s="4">
        <v>793.62380180000002</v>
      </c>
      <c r="H56" s="11">
        <v>13.904494896863424</v>
      </c>
      <c r="I56" s="11">
        <v>57.076780399914107</v>
      </c>
      <c r="J56" s="1">
        <v>40</v>
      </c>
    </row>
    <row r="57" spans="1:14" x14ac:dyDescent="0.3">
      <c r="A57" s="4" t="s">
        <v>38</v>
      </c>
      <c r="B57" s="4" t="s">
        <v>118</v>
      </c>
      <c r="C57" s="4">
        <v>1.5</v>
      </c>
      <c r="D57" s="4">
        <v>50472251359.817703</v>
      </c>
      <c r="E57" s="4">
        <v>142909282.0433</v>
      </c>
      <c r="F57" s="4">
        <v>252361256.79910001</v>
      </c>
      <c r="G57" s="4">
        <v>714.54641020000008</v>
      </c>
      <c r="H57" s="11">
        <v>8.0023229578604926</v>
      </c>
      <c r="I57" s="11">
        <v>89.292373472395042</v>
      </c>
      <c r="J57" s="1">
        <v>20</v>
      </c>
    </row>
    <row r="58" spans="1:14" x14ac:dyDescent="0.3">
      <c r="A58" s="4" t="s">
        <v>39</v>
      </c>
      <c r="B58" s="4" t="s">
        <v>126</v>
      </c>
      <c r="C58" s="4">
        <v>0.4</v>
      </c>
      <c r="D58" s="4">
        <v>122016447365.26711</v>
      </c>
      <c r="E58" s="4">
        <v>139432814.53049999</v>
      </c>
      <c r="F58" s="4">
        <v>610082236.82630002</v>
      </c>
      <c r="G58" s="4">
        <v>697.16407270000002</v>
      </c>
      <c r="H58" s="11">
        <v>19.345580822752904</v>
      </c>
      <c r="I58" s="11">
        <v>36.037381306228085</v>
      </c>
      <c r="J58" s="1">
        <v>0</v>
      </c>
    </row>
    <row r="59" spans="1:14" x14ac:dyDescent="0.3">
      <c r="A59" s="4" t="s">
        <v>38</v>
      </c>
      <c r="B59" s="4" t="s">
        <v>127</v>
      </c>
      <c r="C59" s="4">
        <v>3</v>
      </c>
      <c r="D59" s="4">
        <v>50289469760.046997</v>
      </c>
      <c r="E59" s="4">
        <v>137370873.7561</v>
      </c>
      <c r="F59" s="4">
        <v>251447348.80019999</v>
      </c>
      <c r="G59" s="4">
        <v>686.85436880000009</v>
      </c>
      <c r="H59" s="11">
        <v>7.9733431253245497</v>
      </c>
      <c r="I59" s="11">
        <v>86.143836782647199</v>
      </c>
      <c r="J59" s="1">
        <v>20.5</v>
      </c>
    </row>
    <row r="60" spans="1:14" x14ac:dyDescent="0.3">
      <c r="A60" s="4" t="s">
        <v>38</v>
      </c>
      <c r="B60" s="4" t="s">
        <v>125</v>
      </c>
      <c r="C60" s="4">
        <v>0.5</v>
      </c>
      <c r="D60" s="4">
        <v>43435242172.990402</v>
      </c>
      <c r="E60" s="4">
        <v>128264102.325</v>
      </c>
      <c r="F60" s="4">
        <v>217176210.86500001</v>
      </c>
      <c r="G60" s="4">
        <v>641.32051159999992</v>
      </c>
      <c r="H60" s="11">
        <v>6.8866124703498226</v>
      </c>
      <c r="I60" s="11">
        <v>93.125686157191652</v>
      </c>
      <c r="J60" s="1">
        <v>18</v>
      </c>
    </row>
    <row r="61" spans="1:14" ht="45" customHeight="1" x14ac:dyDescent="0.3">
      <c r="A61" s="21" t="s">
        <v>8</v>
      </c>
      <c r="B61" s="22"/>
      <c r="C61" s="22"/>
      <c r="D61" s="22"/>
      <c r="E61" s="22"/>
      <c r="F61" s="22"/>
      <c r="G61" s="22"/>
      <c r="H61" s="22"/>
      <c r="I61" s="22"/>
      <c r="J61" s="22"/>
    </row>
    <row r="62" spans="1:14" x14ac:dyDescent="0.3">
      <c r="A62" s="4" t="s">
        <v>10</v>
      </c>
      <c r="B62" s="4" t="s">
        <v>162</v>
      </c>
      <c r="C62" s="4">
        <v>1.5</v>
      </c>
      <c r="D62" s="4">
        <v>85877849438.081894</v>
      </c>
      <c r="E62" s="4">
        <v>1018126870.4757</v>
      </c>
      <c r="F62" s="4">
        <v>429389247.1904</v>
      </c>
      <c r="G62" s="4">
        <v>5090.6343524000004</v>
      </c>
      <c r="H62" s="11">
        <v>13.615843708473157</v>
      </c>
      <c r="I62" s="11">
        <v>373.8757921576385</v>
      </c>
      <c r="J62" s="4">
        <v>80</v>
      </c>
      <c r="K62" t="str">
        <f>ROUND(AVERAGE(G62:G118),2)&amp;"±"&amp;ROUND(_xlfn.STDEV.P(G62:G118),2)</f>
        <v>2247.09±1169.32</v>
      </c>
      <c r="L62" t="str">
        <f>ROUND(AVERAGE(H62:H118),2)&amp;"±"&amp;ROUND(_xlfn.STDEV.P(H62:H118),2)</f>
        <v>9.8±2.74</v>
      </c>
      <c r="M62" t="str">
        <f>ROUND(AVERAGE(I62:I118),2)&amp;"±"&amp;ROUND(_xlfn.STDEV.P(I62:I118),2)</f>
        <v>242.34±135.32</v>
      </c>
      <c r="N62" t="str">
        <f>ROUND(AVERAGE(J62:J118),2)&amp;"±"&amp;ROUND(_xlfn.STDEV.P(J62:J118),2)</f>
        <v>59.9±28.47</v>
      </c>
    </row>
    <row r="63" spans="1:14" x14ac:dyDescent="0.3">
      <c r="A63" s="4" t="s">
        <v>10</v>
      </c>
      <c r="B63" s="4" t="s">
        <v>163</v>
      </c>
      <c r="C63" s="4">
        <v>1.5</v>
      </c>
      <c r="D63" s="4">
        <v>88765860412.122894</v>
      </c>
      <c r="E63" s="4">
        <v>942634055.55910003</v>
      </c>
      <c r="F63" s="4">
        <v>443829302.06059998</v>
      </c>
      <c r="G63" s="4">
        <v>4713.1702777999999</v>
      </c>
      <c r="H63" s="11">
        <v>14.073734844641503</v>
      </c>
      <c r="I63" s="11">
        <v>334.89122324871096</v>
      </c>
      <c r="J63" s="4">
        <v>73</v>
      </c>
    </row>
    <row r="64" spans="1:14" x14ac:dyDescent="0.3">
      <c r="A64" s="4" t="s">
        <v>9</v>
      </c>
      <c r="B64" s="4" t="s">
        <v>153</v>
      </c>
      <c r="C64" s="4">
        <v>1.5</v>
      </c>
      <c r="D64" s="4">
        <v>76228075092.360001</v>
      </c>
      <c r="E64" s="4">
        <v>892344354.73720002</v>
      </c>
      <c r="F64" s="4">
        <v>381140375.46179998</v>
      </c>
      <c r="G64" s="4">
        <v>4461.7217737000001</v>
      </c>
      <c r="H64" s="11">
        <v>12.08588202250761</v>
      </c>
      <c r="I64" s="11">
        <v>369.16807274726904</v>
      </c>
      <c r="J64" s="4">
        <v>61.5</v>
      </c>
    </row>
    <row r="65" spans="1:10" x14ac:dyDescent="0.3">
      <c r="A65" s="4" t="s">
        <v>10</v>
      </c>
      <c r="B65" s="4" t="s">
        <v>164</v>
      </c>
      <c r="C65" s="4">
        <v>3.6</v>
      </c>
      <c r="D65" s="4">
        <v>51335292205.105103</v>
      </c>
      <c r="E65" s="4">
        <v>853553764.62539995</v>
      </c>
      <c r="F65" s="4">
        <v>256676461.0255</v>
      </c>
      <c r="G65" s="4">
        <v>4267.7688230999993</v>
      </c>
      <c r="H65" s="11">
        <v>8.1391571862482728</v>
      </c>
      <c r="I65" s="11">
        <v>524.35021531599375</v>
      </c>
      <c r="J65" s="4">
        <v>76.5</v>
      </c>
    </row>
    <row r="66" spans="1:10" x14ac:dyDescent="0.3">
      <c r="A66" s="4" t="s">
        <v>9</v>
      </c>
      <c r="B66" s="4" t="s">
        <v>151</v>
      </c>
      <c r="C66" s="4">
        <v>3.6</v>
      </c>
      <c r="D66" s="4">
        <v>50351200666.085999</v>
      </c>
      <c r="E66" s="4">
        <v>846090672.20869994</v>
      </c>
      <c r="F66" s="4">
        <v>251756003.33039999</v>
      </c>
      <c r="G66" s="4">
        <v>4230.4533609999999</v>
      </c>
      <c r="H66" s="11">
        <v>7.9831304962718797</v>
      </c>
      <c r="I66" s="11">
        <v>529.92411472862943</v>
      </c>
      <c r="J66" s="4">
        <v>70.5</v>
      </c>
    </row>
    <row r="67" spans="1:10" x14ac:dyDescent="0.3">
      <c r="A67" s="4" t="s">
        <v>9</v>
      </c>
      <c r="B67" s="4" t="s">
        <v>152</v>
      </c>
      <c r="C67" s="4">
        <v>1.3</v>
      </c>
      <c r="D67" s="4">
        <v>75589990954.888199</v>
      </c>
      <c r="E67" s="4">
        <v>795822112.22000003</v>
      </c>
      <c r="F67" s="4">
        <v>377949954.7744</v>
      </c>
      <c r="G67" s="4">
        <v>3979.1105610999998</v>
      </c>
      <c r="H67" s="11">
        <v>11.984714446170758</v>
      </c>
      <c r="I67" s="11">
        <v>332.01546678247036</v>
      </c>
      <c r="J67" s="4">
        <v>51.5</v>
      </c>
    </row>
    <row r="68" spans="1:10" x14ac:dyDescent="0.3">
      <c r="A68" s="4" t="s">
        <v>9</v>
      </c>
      <c r="B68" s="4" t="s">
        <v>154</v>
      </c>
      <c r="C68" s="4">
        <v>1.3</v>
      </c>
      <c r="D68" s="4">
        <v>73229153807.625198</v>
      </c>
      <c r="E68" s="4">
        <v>707935836.19410002</v>
      </c>
      <c r="F68" s="4">
        <v>366145769.0381</v>
      </c>
      <c r="G68" s="4">
        <v>3539.679181</v>
      </c>
      <c r="H68" s="11">
        <v>11.610406171934487</v>
      </c>
      <c r="I68" s="11">
        <v>304.87126191643222</v>
      </c>
      <c r="J68" s="4">
        <v>48</v>
      </c>
    </row>
    <row r="69" spans="1:10" x14ac:dyDescent="0.3">
      <c r="A69" s="4" t="s">
        <v>9</v>
      </c>
      <c r="B69" s="4" t="s">
        <v>155</v>
      </c>
      <c r="C69" s="4">
        <v>1</v>
      </c>
      <c r="D69" s="4">
        <v>62356429935.254204</v>
      </c>
      <c r="E69" s="4">
        <v>699155460.43910003</v>
      </c>
      <c r="F69" s="4">
        <v>311782149.67629999</v>
      </c>
      <c r="G69" s="4">
        <v>3495.7773022000001</v>
      </c>
      <c r="H69" s="11">
        <v>9.8865471104855089</v>
      </c>
      <c r="I69" s="11">
        <v>353.58930303305146</v>
      </c>
      <c r="J69" s="4">
        <v>51.5</v>
      </c>
    </row>
    <row r="70" spans="1:10" x14ac:dyDescent="0.3">
      <c r="A70" s="4" t="s">
        <v>10</v>
      </c>
      <c r="B70" s="4" t="s">
        <v>166</v>
      </c>
      <c r="C70" s="4">
        <v>0.2</v>
      </c>
      <c r="D70" s="4">
        <v>96260213280.897598</v>
      </c>
      <c r="E70" s="4">
        <v>590469257.32819998</v>
      </c>
      <c r="F70" s="4">
        <v>481301066.40450001</v>
      </c>
      <c r="G70" s="4">
        <v>2952.3462866</v>
      </c>
      <c r="H70" s="11">
        <v>15.26195669725038</v>
      </c>
      <c r="I70" s="11">
        <v>193.44480823562418</v>
      </c>
      <c r="J70" s="4">
        <v>0</v>
      </c>
    </row>
    <row r="71" spans="1:10" x14ac:dyDescent="0.3">
      <c r="A71" s="4" t="s">
        <v>10</v>
      </c>
      <c r="B71" s="4" t="s">
        <v>168</v>
      </c>
      <c r="C71" s="4">
        <v>1.2</v>
      </c>
      <c r="D71" s="4">
        <v>81274930012.102005</v>
      </c>
      <c r="E71" s="4">
        <v>555489567.79330003</v>
      </c>
      <c r="F71" s="4">
        <v>406374650.06050003</v>
      </c>
      <c r="G71" s="4">
        <v>2777.4478389999999</v>
      </c>
      <c r="H71" s="11">
        <v>12.886055620893901</v>
      </c>
      <c r="I71" s="11">
        <v>215.53902301155281</v>
      </c>
      <c r="J71" s="4">
        <v>58</v>
      </c>
    </row>
    <row r="72" spans="1:10" x14ac:dyDescent="0.3">
      <c r="A72" s="4" t="s">
        <v>9</v>
      </c>
      <c r="B72" s="4" t="s">
        <v>157</v>
      </c>
      <c r="C72" s="4">
        <v>2</v>
      </c>
      <c r="D72" s="4">
        <v>57590360005.306396</v>
      </c>
      <c r="E72" s="4">
        <v>551243381.33850002</v>
      </c>
      <c r="F72" s="4">
        <v>287951800.02649999</v>
      </c>
      <c r="G72" s="4">
        <v>2756.2169067</v>
      </c>
      <c r="H72" s="11">
        <v>9.1308916801919064</v>
      </c>
      <c r="I72" s="11">
        <v>301.85627025662751</v>
      </c>
      <c r="J72" s="4">
        <v>39.5</v>
      </c>
    </row>
    <row r="73" spans="1:10" x14ac:dyDescent="0.3">
      <c r="A73" s="4" t="s">
        <v>10</v>
      </c>
      <c r="B73" s="4" t="s">
        <v>165</v>
      </c>
      <c r="C73" s="4">
        <v>1.2</v>
      </c>
      <c r="D73" s="4">
        <v>89157754337.189407</v>
      </c>
      <c r="E73" s="4">
        <v>521063496.3761</v>
      </c>
      <c r="F73" s="4">
        <v>445788771.68589997</v>
      </c>
      <c r="G73" s="4">
        <v>2605.3174819000001</v>
      </c>
      <c r="H73" s="11">
        <v>14.135869218859305</v>
      </c>
      <c r="I73" s="11">
        <v>184.30543191671069</v>
      </c>
      <c r="J73" s="4">
        <v>64</v>
      </c>
    </row>
    <row r="74" spans="1:10" x14ac:dyDescent="0.3">
      <c r="A74" s="4" t="s">
        <v>10</v>
      </c>
      <c r="B74" s="4" t="s">
        <v>167</v>
      </c>
      <c r="C74" s="4">
        <v>1.3</v>
      </c>
      <c r="D74" s="4">
        <v>80265019903.220993</v>
      </c>
      <c r="E74" s="4">
        <v>520723808.29030001</v>
      </c>
      <c r="F74" s="4">
        <v>401325099.51609999</v>
      </c>
      <c r="G74" s="4">
        <v>2603.6190415000001</v>
      </c>
      <c r="H74" s="11">
        <v>12.72593542351931</v>
      </c>
      <c r="I74" s="11">
        <v>204.59156477315983</v>
      </c>
      <c r="J74" s="4">
        <v>55.5</v>
      </c>
    </row>
    <row r="75" spans="1:10" x14ac:dyDescent="0.3">
      <c r="A75" s="4" t="s">
        <v>9</v>
      </c>
      <c r="B75" s="4" t="s">
        <v>156</v>
      </c>
      <c r="C75" s="4">
        <v>0.95</v>
      </c>
      <c r="D75" s="4">
        <v>76173580818.008102</v>
      </c>
      <c r="E75" s="4">
        <v>511959160.46899998</v>
      </c>
      <c r="F75" s="4">
        <v>380867904.08999997</v>
      </c>
      <c r="G75" s="4">
        <v>2559.7958023000001</v>
      </c>
      <c r="H75" s="11">
        <v>12.077242011987586</v>
      </c>
      <c r="I75" s="11">
        <v>211.95201683954062</v>
      </c>
      <c r="J75" s="4">
        <v>37</v>
      </c>
    </row>
    <row r="76" spans="1:10" x14ac:dyDescent="0.3">
      <c r="A76" s="4" t="s">
        <v>9</v>
      </c>
      <c r="B76" s="4" t="s">
        <v>158</v>
      </c>
      <c r="C76" s="4">
        <v>1.3</v>
      </c>
      <c r="D76" s="4">
        <v>61083091425.628403</v>
      </c>
      <c r="E76" s="4">
        <v>428443894.96210003</v>
      </c>
      <c r="F76" s="4">
        <v>305415457.12809998</v>
      </c>
      <c r="G76" s="4">
        <v>2142.2194748000002</v>
      </c>
      <c r="H76" s="11">
        <v>9.6846606141597551</v>
      </c>
      <c r="I76" s="11">
        <v>221.1971653057106</v>
      </c>
      <c r="J76" s="4">
        <v>30.5</v>
      </c>
    </row>
    <row r="77" spans="1:10" x14ac:dyDescent="0.3">
      <c r="A77" s="4" t="s">
        <v>16</v>
      </c>
      <c r="B77" s="4" t="s">
        <v>169</v>
      </c>
      <c r="C77" s="4">
        <v>1</v>
      </c>
      <c r="D77" s="4">
        <v>52178355860.755798</v>
      </c>
      <c r="E77" s="4">
        <v>356045031.41140002</v>
      </c>
      <c r="F77" s="4">
        <v>260891779.30379999</v>
      </c>
      <c r="G77" s="4">
        <v>1780.2251570999999</v>
      </c>
      <c r="H77" s="11">
        <v>8.2728240519970502</v>
      </c>
      <c r="I77" s="11">
        <v>215.18953454234961</v>
      </c>
      <c r="J77" s="4">
        <v>31.5</v>
      </c>
    </row>
    <row r="78" spans="1:10" x14ac:dyDescent="0.3">
      <c r="A78" s="4" t="s">
        <v>9</v>
      </c>
      <c r="B78" s="4" t="s">
        <v>159</v>
      </c>
      <c r="C78" s="4">
        <v>1.5</v>
      </c>
      <c r="D78" s="4">
        <v>52226682058.074203</v>
      </c>
      <c r="E78" s="4">
        <v>339637931.56690001</v>
      </c>
      <c r="F78" s="4">
        <v>261133410.2904</v>
      </c>
      <c r="G78" s="4">
        <v>1698.1896578000001</v>
      </c>
      <c r="H78" s="11">
        <v>8.2804861203187166</v>
      </c>
      <c r="I78" s="11">
        <v>205.08332881966555</v>
      </c>
      <c r="J78" s="4">
        <v>26.5</v>
      </c>
    </row>
    <row r="79" spans="1:10" x14ac:dyDescent="0.3">
      <c r="A79" s="4" t="s">
        <v>39</v>
      </c>
      <c r="B79" s="4" t="s">
        <v>170</v>
      </c>
      <c r="C79" s="4">
        <v>3</v>
      </c>
      <c r="D79" s="4">
        <v>61435556046.628601</v>
      </c>
      <c r="E79" s="4">
        <v>325175427.00099999</v>
      </c>
      <c r="F79" s="4">
        <v>307177780.2331</v>
      </c>
      <c r="G79" s="4">
        <v>1625.877135</v>
      </c>
      <c r="H79" s="11">
        <v>9.740543513227518</v>
      </c>
      <c r="I79" s="11">
        <v>166.9185228516337</v>
      </c>
      <c r="J79" s="4">
        <v>59</v>
      </c>
    </row>
    <row r="80" spans="1:10" x14ac:dyDescent="0.3">
      <c r="A80" s="4" t="s">
        <v>13</v>
      </c>
      <c r="B80" s="4" t="s">
        <v>171</v>
      </c>
      <c r="C80" s="4">
        <v>1.25</v>
      </c>
      <c r="D80" s="4">
        <v>66254059779.048599</v>
      </c>
      <c r="E80" s="4">
        <v>312738601.0783</v>
      </c>
      <c r="F80" s="4">
        <v>331270298.89520001</v>
      </c>
      <c r="G80" s="4">
        <v>1563.6930053999999</v>
      </c>
      <c r="H80" s="11">
        <v>10.504512268367675</v>
      </c>
      <c r="I80" s="11">
        <v>148.85917265371393</v>
      </c>
      <c r="J80" s="4">
        <v>64</v>
      </c>
    </row>
    <row r="81" spans="1:10" x14ac:dyDescent="0.3">
      <c r="A81" s="4" t="s">
        <v>15</v>
      </c>
      <c r="B81" s="4" t="s">
        <v>172</v>
      </c>
      <c r="C81" s="4">
        <v>1.25</v>
      </c>
      <c r="D81" s="4">
        <v>62666001069.1138</v>
      </c>
      <c r="E81" s="4">
        <v>303634270.21219999</v>
      </c>
      <c r="F81" s="4">
        <v>313330005.34560001</v>
      </c>
      <c r="G81" s="4">
        <v>1518.1713511</v>
      </c>
      <c r="H81" s="11">
        <v>9.9356292917798381</v>
      </c>
      <c r="I81" s="11">
        <v>152.80072419328755</v>
      </c>
      <c r="J81" s="4">
        <v>54.5</v>
      </c>
    </row>
    <row r="82" spans="1:10" x14ac:dyDescent="0.3">
      <c r="A82" s="4" t="s">
        <v>10</v>
      </c>
      <c r="B82" s="4" t="s">
        <v>179</v>
      </c>
      <c r="C82" s="4">
        <v>2</v>
      </c>
      <c r="D82" s="4">
        <v>48936475631.535301</v>
      </c>
      <c r="E82" s="4">
        <v>297765153.18440002</v>
      </c>
      <c r="F82" s="4">
        <v>244682378.1577</v>
      </c>
      <c r="G82" s="4">
        <v>1488.8257659000001</v>
      </c>
      <c r="H82" s="11">
        <v>7.7588273134727457</v>
      </c>
      <c r="I82" s="11">
        <v>191.88798844829836</v>
      </c>
      <c r="J82" s="4">
        <v>29.5</v>
      </c>
    </row>
    <row r="83" spans="1:10" x14ac:dyDescent="0.3">
      <c r="A83" s="4" t="s">
        <v>14</v>
      </c>
      <c r="B83" s="4" t="s">
        <v>160</v>
      </c>
      <c r="C83" s="4">
        <v>1.25</v>
      </c>
      <c r="D83" s="4">
        <v>59941829383.477303</v>
      </c>
      <c r="E83" s="4">
        <v>276174930.95300001</v>
      </c>
      <c r="F83" s="4">
        <v>299709146.9174</v>
      </c>
      <c r="G83" s="4">
        <v>1380.8746547999999</v>
      </c>
      <c r="H83" s="11">
        <v>9.5037147043818653</v>
      </c>
      <c r="I83" s="11">
        <v>145.29841201602167</v>
      </c>
      <c r="J83" s="4">
        <v>47</v>
      </c>
    </row>
    <row r="84" spans="1:10" x14ac:dyDescent="0.3">
      <c r="A84" s="4" t="s">
        <v>16</v>
      </c>
      <c r="B84" s="4" t="s">
        <v>174</v>
      </c>
      <c r="C84" s="4">
        <v>0.95</v>
      </c>
      <c r="D84" s="4">
        <v>64717520790.741402</v>
      </c>
      <c r="E84" s="4">
        <v>273569011.04210001</v>
      </c>
      <c r="F84" s="4">
        <v>323587603.95370001</v>
      </c>
      <c r="G84" s="4">
        <v>1367.8450551999999</v>
      </c>
      <c r="H84" s="11">
        <v>10.260895609896849</v>
      </c>
      <c r="I84" s="11">
        <v>133.30659497994353</v>
      </c>
      <c r="J84" s="4">
        <v>25</v>
      </c>
    </row>
    <row r="85" spans="1:10" x14ac:dyDescent="0.3">
      <c r="A85" s="4" t="s">
        <v>39</v>
      </c>
      <c r="B85" s="4" t="s">
        <v>175</v>
      </c>
      <c r="C85" s="4">
        <v>2.5</v>
      </c>
      <c r="D85" s="4">
        <v>56429660075.628197</v>
      </c>
      <c r="E85" s="4">
        <v>265720175.26440001</v>
      </c>
      <c r="F85" s="4">
        <v>282148300.37809998</v>
      </c>
      <c r="G85" s="4">
        <v>1328.6008763</v>
      </c>
      <c r="H85" s="11">
        <v>8.9468639135635772</v>
      </c>
      <c r="I85" s="11">
        <v>148.49905946214534</v>
      </c>
      <c r="J85" s="4">
        <v>54</v>
      </c>
    </row>
    <row r="86" spans="1:10" x14ac:dyDescent="0.3">
      <c r="A86" s="4" t="s">
        <v>10</v>
      </c>
      <c r="B86" s="4" t="s">
        <v>180</v>
      </c>
      <c r="C86" s="4">
        <v>1.5</v>
      </c>
      <c r="D86" s="4">
        <v>53275706470.901299</v>
      </c>
      <c r="E86" s="4">
        <v>253591069.13659999</v>
      </c>
      <c r="F86" s="4">
        <v>266378532.3545</v>
      </c>
      <c r="G86" s="4">
        <v>1267.9553457</v>
      </c>
      <c r="H86" s="11">
        <v>8.446807849901905</v>
      </c>
      <c r="I86" s="11">
        <v>150.11059423054414</v>
      </c>
      <c r="J86" s="4">
        <v>23</v>
      </c>
    </row>
    <row r="87" spans="1:10" x14ac:dyDescent="0.3">
      <c r="A87" s="4" t="s">
        <v>40</v>
      </c>
      <c r="B87" s="4" t="s">
        <v>161</v>
      </c>
      <c r="C87" s="4">
        <v>0.95</v>
      </c>
      <c r="D87" s="4">
        <v>84716596165.704895</v>
      </c>
      <c r="E87" s="4">
        <v>251409557.34189999</v>
      </c>
      <c r="F87" s="4">
        <v>423582980.82849997</v>
      </c>
      <c r="G87" s="4">
        <v>1257.0477867</v>
      </c>
      <c r="H87" s="11">
        <v>13.431728209935454</v>
      </c>
      <c r="I87" s="11">
        <v>93.587940959835777</v>
      </c>
      <c r="J87" s="4">
        <v>27.5</v>
      </c>
    </row>
    <row r="88" spans="1:10" x14ac:dyDescent="0.3">
      <c r="A88" s="4" t="s">
        <v>10</v>
      </c>
      <c r="B88" s="4" t="s">
        <v>173</v>
      </c>
      <c r="C88" s="4">
        <v>1.3</v>
      </c>
      <c r="D88" s="4">
        <v>51007727337.5214</v>
      </c>
      <c r="E88" s="4">
        <v>240706925.15979999</v>
      </c>
      <c r="F88" s="4">
        <v>255038636.68759999</v>
      </c>
      <c r="G88" s="4">
        <v>1203.5346258</v>
      </c>
      <c r="H88" s="11">
        <v>8.0872221171869292</v>
      </c>
      <c r="I88" s="11">
        <v>148.81928656840691</v>
      </c>
      <c r="J88" s="4">
        <v>25.5</v>
      </c>
    </row>
    <row r="89" spans="1:10" x14ac:dyDescent="0.3">
      <c r="A89" s="4" t="s">
        <v>10</v>
      </c>
      <c r="B89" s="4" t="s">
        <v>176</v>
      </c>
      <c r="C89" s="4">
        <v>1.3</v>
      </c>
      <c r="D89" s="4">
        <v>49570629230.4795</v>
      </c>
      <c r="E89" s="4">
        <v>238442184.70469999</v>
      </c>
      <c r="F89" s="4">
        <v>247853146.15239999</v>
      </c>
      <c r="G89" s="4">
        <v>1192.2109235</v>
      </c>
      <c r="H89" s="11">
        <v>7.8593717070141267</v>
      </c>
      <c r="I89" s="11">
        <v>151.69290471858034</v>
      </c>
      <c r="J89" s="4">
        <v>24</v>
      </c>
    </row>
    <row r="90" spans="1:10" x14ac:dyDescent="0.3">
      <c r="A90" s="4" t="s">
        <v>13</v>
      </c>
      <c r="B90" s="4" t="s">
        <v>178</v>
      </c>
      <c r="C90" s="4">
        <v>1</v>
      </c>
      <c r="D90" s="4">
        <v>86443576497.120407</v>
      </c>
      <c r="E90" s="4">
        <v>216230664.05790001</v>
      </c>
      <c r="F90" s="4">
        <v>432217882.48559999</v>
      </c>
      <c r="G90" s="4">
        <v>1081.1533202999999</v>
      </c>
      <c r="H90" s="11">
        <v>13.705539145281648</v>
      </c>
      <c r="I90" s="11">
        <v>78.88440643155613</v>
      </c>
      <c r="J90" s="4">
        <v>54.5</v>
      </c>
    </row>
    <row r="91" spans="1:10" x14ac:dyDescent="0.3">
      <c r="A91" s="4" t="s">
        <v>10</v>
      </c>
      <c r="B91" s="4" t="s">
        <v>177</v>
      </c>
      <c r="C91" s="4">
        <v>1.5</v>
      </c>
      <c r="D91" s="4">
        <v>51531025967.9571</v>
      </c>
      <c r="E91" s="4">
        <v>196456818.46610001</v>
      </c>
      <c r="F91" s="4">
        <v>257655129.8398</v>
      </c>
      <c r="G91" s="4">
        <v>982.2840923</v>
      </c>
      <c r="H91" s="11">
        <v>8.1701905707694547</v>
      </c>
      <c r="I91" s="11">
        <v>120.22780665781828</v>
      </c>
      <c r="J91" s="4">
        <v>17.5</v>
      </c>
    </row>
    <row r="92" spans="1:10" x14ac:dyDescent="0.3">
      <c r="A92" s="4" t="s">
        <v>38</v>
      </c>
      <c r="B92" s="4" t="s">
        <v>182</v>
      </c>
      <c r="C92" s="4">
        <v>1.3</v>
      </c>
      <c r="D92" s="4">
        <v>52209318615.327301</v>
      </c>
      <c r="E92" s="4">
        <v>151484987.05739999</v>
      </c>
      <c r="F92" s="4">
        <v>261046593.07659999</v>
      </c>
      <c r="G92" s="4">
        <v>757.42493530000002</v>
      </c>
      <c r="H92" s="11">
        <v>8.2777331645305843</v>
      </c>
      <c r="I92" s="11">
        <v>91.501492044404671</v>
      </c>
      <c r="J92" s="4">
        <v>27</v>
      </c>
    </row>
    <row r="93" spans="1:10" x14ac:dyDescent="0.3">
      <c r="A93" s="4" t="s">
        <v>38</v>
      </c>
      <c r="B93" s="4" t="s">
        <v>183</v>
      </c>
      <c r="C93" s="4">
        <v>1</v>
      </c>
      <c r="D93" s="4">
        <v>48724282903.971001</v>
      </c>
      <c r="E93" s="4">
        <v>132140148.632</v>
      </c>
      <c r="F93" s="4">
        <v>243621414.51989999</v>
      </c>
      <c r="G93" s="4">
        <v>660.70074320000003</v>
      </c>
      <c r="H93" s="11">
        <v>7.7251843772150872</v>
      </c>
      <c r="I93" s="11">
        <v>85.525563007750662</v>
      </c>
      <c r="J93" s="4">
        <v>17</v>
      </c>
    </row>
    <row r="94" spans="1:10" x14ac:dyDescent="0.3">
      <c r="A94" s="4" t="s">
        <v>38</v>
      </c>
      <c r="B94" s="4" t="s">
        <v>184</v>
      </c>
      <c r="C94" s="4">
        <v>1</v>
      </c>
      <c r="D94" s="4">
        <v>50302869437.344597</v>
      </c>
      <c r="E94" s="4">
        <v>122902448.8907</v>
      </c>
      <c r="F94" s="4">
        <v>251514347.18669999</v>
      </c>
      <c r="G94" s="4">
        <v>614.51224450000007</v>
      </c>
      <c r="H94" s="11">
        <v>7.9754676302233314</v>
      </c>
      <c r="I94" s="11">
        <v>77.050308896155883</v>
      </c>
      <c r="J94" s="4">
        <v>17</v>
      </c>
    </row>
    <row r="95" spans="1:10" x14ac:dyDescent="0.3">
      <c r="A95" s="4" t="s">
        <v>38</v>
      </c>
      <c r="B95" s="4" t="s">
        <v>181</v>
      </c>
      <c r="C95" s="4">
        <v>0.95</v>
      </c>
      <c r="D95" s="4">
        <v>52616105209.880402</v>
      </c>
      <c r="E95" s="4">
        <v>116893393.30679999</v>
      </c>
      <c r="F95" s="4">
        <v>263080526.0494</v>
      </c>
      <c r="G95" s="4">
        <v>584.46696650000001</v>
      </c>
      <c r="H95" s="11">
        <v>8.3422287560058983</v>
      </c>
      <c r="I95" s="11">
        <v>70.06124904920874</v>
      </c>
      <c r="J95" s="4">
        <v>11.5</v>
      </c>
    </row>
    <row r="96" spans="1:10" ht="92.25" customHeight="1" x14ac:dyDescent="0.3">
      <c r="A96" s="25" t="s">
        <v>51</v>
      </c>
      <c r="B96" s="26"/>
      <c r="C96" s="26"/>
      <c r="D96" s="26"/>
      <c r="E96" s="26"/>
      <c r="F96" s="26"/>
      <c r="G96" s="26"/>
      <c r="H96" s="26"/>
      <c r="I96" s="26"/>
      <c r="J96" s="26"/>
    </row>
    <row r="97" spans="1:14" ht="45" customHeight="1" x14ac:dyDescent="0.3">
      <c r="A97" s="21" t="s">
        <v>6</v>
      </c>
      <c r="B97" s="22"/>
      <c r="C97" s="22"/>
      <c r="D97" s="22"/>
      <c r="E97" s="22"/>
      <c r="F97" s="22"/>
      <c r="G97" s="22"/>
      <c r="H97" s="22"/>
      <c r="I97" s="22"/>
      <c r="J97" s="22"/>
    </row>
    <row r="98" spans="1:14" ht="45" customHeight="1" x14ac:dyDescent="0.3">
      <c r="A98" s="6" t="s">
        <v>4</v>
      </c>
      <c r="B98" s="2" t="s">
        <v>1</v>
      </c>
      <c r="C98" s="2" t="s">
        <v>7</v>
      </c>
      <c r="D98" s="2" t="s">
        <v>2</v>
      </c>
      <c r="E98" s="2" t="s">
        <v>3</v>
      </c>
      <c r="F98" s="2" t="s">
        <v>5</v>
      </c>
      <c r="G98" s="2" t="s">
        <v>0</v>
      </c>
      <c r="H98" s="8" t="s">
        <v>53</v>
      </c>
      <c r="I98" s="8" t="s">
        <v>55</v>
      </c>
      <c r="J98" s="8" t="s">
        <v>58</v>
      </c>
    </row>
    <row r="99" spans="1:14" x14ac:dyDescent="0.3">
      <c r="A99" s="4" t="s">
        <v>45</v>
      </c>
      <c r="B99" s="4" t="s">
        <v>93</v>
      </c>
      <c r="C99" s="4">
        <v>3</v>
      </c>
      <c r="D99" s="4">
        <v>50705623491.682701</v>
      </c>
      <c r="E99" s="4">
        <v>980422176.44889998</v>
      </c>
      <c r="F99" s="4">
        <v>253528117.45840001</v>
      </c>
      <c r="G99" s="4">
        <v>4902.1108821999997</v>
      </c>
      <c r="H99" s="11">
        <v>8.0393238666417268</v>
      </c>
      <c r="I99" s="11">
        <v>609.76656289974323</v>
      </c>
      <c r="J99" s="1">
        <v>97.5</v>
      </c>
      <c r="K99" t="str">
        <f>ROUND(AVERAGE(G99:G155),2)&amp;"±"&amp;ROUND(_xlfn.STDEV.P(G99:G155),2)</f>
        <v>1315.11±918.73</v>
      </c>
      <c r="L99" t="str">
        <f>ROUND(AVERAGE(H99:H155),2)&amp;"±"&amp;ROUND(_xlfn.STDEV.P(H99:H155),2)</f>
        <v>8.74±4.16</v>
      </c>
      <c r="M99" t="str">
        <f>ROUND(AVERAGE(I99:I155),2)&amp;"±"&amp;ROUND(_xlfn.STDEV.P(I99:I155),2)</f>
        <v>185.52±138.13</v>
      </c>
      <c r="N99" t="str">
        <f>ROUND(AVERAGE(J99:J155),2)&amp;"±"&amp;ROUND(_xlfn.STDEV.P(J99:J155),2)</f>
        <v>88.55±10.52</v>
      </c>
    </row>
    <row r="100" spans="1:14" x14ac:dyDescent="0.3">
      <c r="A100" s="4" t="s">
        <v>11</v>
      </c>
      <c r="B100" s="4" t="s">
        <v>138</v>
      </c>
      <c r="C100" s="4">
        <v>1</v>
      </c>
      <c r="D100" s="4">
        <v>49648360277.572098</v>
      </c>
      <c r="E100" s="4">
        <v>763740188.79639995</v>
      </c>
      <c r="F100" s="4">
        <v>248241801.38789999</v>
      </c>
      <c r="G100" s="4">
        <v>3818.7009440000002</v>
      </c>
      <c r="H100" s="11">
        <v>7.8716958836840591</v>
      </c>
      <c r="I100" s="11">
        <v>485.11794668225889</v>
      </c>
      <c r="J100" s="1">
        <v>96</v>
      </c>
    </row>
    <row r="101" spans="1:14" x14ac:dyDescent="0.3">
      <c r="A101" s="4" t="s">
        <v>12</v>
      </c>
      <c r="B101" s="4" t="s">
        <v>115</v>
      </c>
      <c r="C101" s="4">
        <v>1.5</v>
      </c>
      <c r="D101" s="4">
        <v>82462400205.140793</v>
      </c>
      <c r="E101" s="4">
        <v>593059698.95309997</v>
      </c>
      <c r="F101" s="4">
        <v>412312001.02569997</v>
      </c>
      <c r="G101" s="4">
        <v>2965.2984947999998</v>
      </c>
      <c r="H101" s="11">
        <v>13.074327784934804</v>
      </c>
      <c r="I101" s="11">
        <v>226.80313233517319</v>
      </c>
      <c r="J101" s="1">
        <v>87.5</v>
      </c>
    </row>
    <row r="102" spans="1:14" x14ac:dyDescent="0.3">
      <c r="A102" s="4" t="s">
        <v>11</v>
      </c>
      <c r="B102" s="4" t="s">
        <v>131</v>
      </c>
      <c r="C102" s="4">
        <v>3</v>
      </c>
      <c r="D102" s="4">
        <v>70739603549.244293</v>
      </c>
      <c r="E102" s="4">
        <v>582476523.11539996</v>
      </c>
      <c r="F102" s="4">
        <v>353698017.74620003</v>
      </c>
      <c r="G102" s="4">
        <v>2912.3826156</v>
      </c>
      <c r="H102" s="11">
        <v>11.215690567802557</v>
      </c>
      <c r="I102" s="11">
        <v>259.67037856418062</v>
      </c>
      <c r="J102" s="1">
        <v>90.5</v>
      </c>
    </row>
    <row r="103" spans="1:14" x14ac:dyDescent="0.3">
      <c r="A103" s="4" t="s">
        <v>12</v>
      </c>
      <c r="B103" s="4" t="s">
        <v>103</v>
      </c>
      <c r="C103" s="4">
        <v>3</v>
      </c>
      <c r="D103" s="4">
        <v>74659454217.535995</v>
      </c>
      <c r="E103" s="4">
        <v>581934781.148</v>
      </c>
      <c r="F103" s="4">
        <v>373297271.08770001</v>
      </c>
      <c r="G103" s="4">
        <v>2909.6739057</v>
      </c>
      <c r="H103" s="11">
        <v>11.83717881429731</v>
      </c>
      <c r="I103" s="11">
        <v>245.8080553945511</v>
      </c>
      <c r="J103" s="1">
        <v>84.5</v>
      </c>
    </row>
    <row r="104" spans="1:14" x14ac:dyDescent="0.3">
      <c r="A104" s="4" t="s">
        <v>11</v>
      </c>
      <c r="B104" s="4" t="s">
        <v>136</v>
      </c>
      <c r="C104" s="4">
        <v>2</v>
      </c>
      <c r="D104" s="4">
        <v>67537352183.709</v>
      </c>
      <c r="E104" s="4">
        <v>579433482.21739995</v>
      </c>
      <c r="F104" s="4">
        <v>337686760.91850001</v>
      </c>
      <c r="G104" s="4">
        <v>2897.1674111000002</v>
      </c>
      <c r="H104" s="11">
        <v>10.707976944398307</v>
      </c>
      <c r="I104" s="11">
        <v>270.56160338630565</v>
      </c>
      <c r="J104" s="1">
        <v>91.5</v>
      </c>
    </row>
    <row r="105" spans="1:14" x14ac:dyDescent="0.3">
      <c r="A105" s="4" t="s">
        <v>11</v>
      </c>
      <c r="B105" s="4" t="s">
        <v>185</v>
      </c>
      <c r="C105" s="4">
        <v>1.5</v>
      </c>
      <c r="D105" s="4">
        <v>37584042834.178398</v>
      </c>
      <c r="E105" s="4">
        <v>561014835.64129996</v>
      </c>
      <c r="F105" s="4">
        <v>187920214.17089999</v>
      </c>
      <c r="G105" s="4">
        <v>2805.0741782</v>
      </c>
      <c r="H105" s="11">
        <v>5.9589109009034749</v>
      </c>
      <c r="I105" s="11">
        <v>470.73604973262849</v>
      </c>
      <c r="J105" s="1">
        <v>88.5</v>
      </c>
    </row>
    <row r="106" spans="1:14" x14ac:dyDescent="0.3">
      <c r="A106" s="4" t="s">
        <v>11</v>
      </c>
      <c r="B106" s="4" t="s">
        <v>135</v>
      </c>
      <c r="C106" s="4">
        <v>8</v>
      </c>
      <c r="D106" s="4">
        <v>27497704626.9949</v>
      </c>
      <c r="E106" s="4">
        <v>521511426.48259997</v>
      </c>
      <c r="F106" s="4">
        <v>137488523.13499999</v>
      </c>
      <c r="G106" s="4">
        <v>2607.5571323999998</v>
      </c>
      <c r="H106" s="11">
        <v>4.3597324687650465</v>
      </c>
      <c r="I106" s="11">
        <v>598.10026213342985</v>
      </c>
      <c r="J106" s="1">
        <v>97</v>
      </c>
    </row>
    <row r="107" spans="1:14" x14ac:dyDescent="0.3">
      <c r="A107" s="4" t="s">
        <v>12</v>
      </c>
      <c r="B107" s="4" t="s">
        <v>96</v>
      </c>
      <c r="C107" s="4">
        <v>3</v>
      </c>
      <c r="D107" s="4">
        <v>71734566344.705704</v>
      </c>
      <c r="E107" s="4">
        <v>500200746.1796</v>
      </c>
      <c r="F107" s="4">
        <v>358672831.72350001</v>
      </c>
      <c r="G107" s="4">
        <v>2501.0037308999999</v>
      </c>
      <c r="H107" s="11">
        <v>11.373440884180889</v>
      </c>
      <c r="I107" s="11">
        <v>219.89860028890644</v>
      </c>
      <c r="J107" s="1">
        <v>83</v>
      </c>
    </row>
    <row r="108" spans="1:14" x14ac:dyDescent="0.3">
      <c r="A108" s="4" t="s">
        <v>12</v>
      </c>
      <c r="B108" s="4" t="s">
        <v>100</v>
      </c>
      <c r="C108" s="4">
        <v>1.5</v>
      </c>
      <c r="D108" s="4">
        <v>38875328174.843803</v>
      </c>
      <c r="E108" s="4">
        <v>370168029.6462</v>
      </c>
      <c r="F108" s="4">
        <v>194376640.87419999</v>
      </c>
      <c r="G108" s="4">
        <v>1850.8401481999999</v>
      </c>
      <c r="H108" s="11">
        <v>6.1636428486243977</v>
      </c>
      <c r="I108" s="11">
        <v>300.28348391618289</v>
      </c>
      <c r="J108" s="1">
        <v>92.5</v>
      </c>
    </row>
    <row r="109" spans="1:14" x14ac:dyDescent="0.3">
      <c r="A109" s="4" t="s">
        <v>32</v>
      </c>
      <c r="B109" s="4" t="s">
        <v>109</v>
      </c>
      <c r="C109" s="4">
        <v>21</v>
      </c>
      <c r="D109" s="4">
        <v>27027393643.247799</v>
      </c>
      <c r="E109" s="4">
        <v>360688157.25669998</v>
      </c>
      <c r="F109" s="4">
        <v>135136968.21619999</v>
      </c>
      <c r="G109" s="4">
        <v>1803.4407862999999</v>
      </c>
      <c r="H109" s="11">
        <v>4.2851651514535449</v>
      </c>
      <c r="I109" s="11">
        <v>420.85677507394684</v>
      </c>
      <c r="J109" s="1">
        <v>77.5</v>
      </c>
    </row>
    <row r="110" spans="1:14" x14ac:dyDescent="0.3">
      <c r="A110" s="4" t="s">
        <v>33</v>
      </c>
      <c r="B110" s="4" t="s">
        <v>132</v>
      </c>
      <c r="C110" s="4">
        <v>1.5</v>
      </c>
      <c r="D110" s="4">
        <v>67016862819.744698</v>
      </c>
      <c r="E110" s="4">
        <v>356654457.99550003</v>
      </c>
      <c r="F110" s="4">
        <v>335084314.09869999</v>
      </c>
      <c r="G110" s="4">
        <v>1783.2722900000001</v>
      </c>
      <c r="H110" s="11">
        <v>10.625453897092957</v>
      </c>
      <c r="I110" s="11">
        <v>167.83022233882073</v>
      </c>
      <c r="J110" s="1">
        <v>92.5</v>
      </c>
    </row>
    <row r="111" spans="1:14" x14ac:dyDescent="0.3">
      <c r="A111" s="4" t="s">
        <v>34</v>
      </c>
      <c r="B111" s="4" t="s">
        <v>114</v>
      </c>
      <c r="C111" s="4">
        <v>5</v>
      </c>
      <c r="D111" s="4">
        <v>78049620791.117401</v>
      </c>
      <c r="E111" s="4">
        <v>347037770.11449999</v>
      </c>
      <c r="F111" s="4">
        <v>390248103.95560002</v>
      </c>
      <c r="G111" s="4">
        <v>1735.1888506</v>
      </c>
      <c r="H111" s="11">
        <v>12.374686198490203</v>
      </c>
      <c r="I111" s="11">
        <v>140.22083653415834</v>
      </c>
      <c r="J111" s="1">
        <v>81.5</v>
      </c>
    </row>
    <row r="112" spans="1:14" x14ac:dyDescent="0.3">
      <c r="A112" s="4" t="s">
        <v>45</v>
      </c>
      <c r="B112" s="4" t="s">
        <v>108</v>
      </c>
      <c r="C112" s="4">
        <v>2</v>
      </c>
      <c r="D112" s="4">
        <v>79398305899.948105</v>
      </c>
      <c r="E112" s="4">
        <v>326426152.65439999</v>
      </c>
      <c r="F112" s="4">
        <v>396991529.49970001</v>
      </c>
      <c r="G112" s="4">
        <v>1632.1307632999999</v>
      </c>
      <c r="H112" s="11">
        <v>12.588518819753315</v>
      </c>
      <c r="I112" s="11">
        <v>129.65232738413488</v>
      </c>
      <c r="J112" s="1">
        <v>86</v>
      </c>
    </row>
    <row r="113" spans="1:10" x14ac:dyDescent="0.3">
      <c r="A113" s="4" t="s">
        <v>33</v>
      </c>
      <c r="B113" s="4" t="s">
        <v>134</v>
      </c>
      <c r="C113" s="4">
        <v>5.5</v>
      </c>
      <c r="D113" s="4">
        <v>44534749822.426903</v>
      </c>
      <c r="E113" s="4">
        <v>325266488.40020001</v>
      </c>
      <c r="F113" s="4">
        <v>222673749.11210001</v>
      </c>
      <c r="G113" s="4">
        <v>1626.3324419999999</v>
      </c>
      <c r="H113" s="11">
        <v>7.0609382645907699</v>
      </c>
      <c r="I113" s="11">
        <v>230.32809253633334</v>
      </c>
      <c r="J113" s="1">
        <v>99</v>
      </c>
    </row>
    <row r="114" spans="1:10" x14ac:dyDescent="0.3">
      <c r="A114" s="4" t="s">
        <v>33</v>
      </c>
      <c r="B114" s="4" t="s">
        <v>144</v>
      </c>
      <c r="C114" s="4">
        <v>1</v>
      </c>
      <c r="D114" s="4">
        <v>83350226599.263702</v>
      </c>
      <c r="E114" s="4">
        <v>319124161.4443</v>
      </c>
      <c r="F114" s="4">
        <v>416751132.99629998</v>
      </c>
      <c r="G114" s="4">
        <v>1595.6208071999999</v>
      </c>
      <c r="H114" s="11">
        <v>13.21509173631147</v>
      </c>
      <c r="I114" s="11">
        <v>120.74231787704272</v>
      </c>
      <c r="J114" s="1">
        <v>88</v>
      </c>
    </row>
    <row r="115" spans="1:10" x14ac:dyDescent="0.3">
      <c r="A115" s="4" t="s">
        <v>12</v>
      </c>
      <c r="B115" s="4" t="s">
        <v>99</v>
      </c>
      <c r="C115" s="4">
        <v>8</v>
      </c>
      <c r="D115" s="4">
        <v>27606347115.052502</v>
      </c>
      <c r="E115" s="4">
        <v>307816790.44029999</v>
      </c>
      <c r="F115" s="4">
        <v>138031735.57530001</v>
      </c>
      <c r="G115" s="4">
        <v>1539.0839522000001</v>
      </c>
      <c r="H115" s="11">
        <v>4.3769576222495719</v>
      </c>
      <c r="I115" s="11">
        <v>351.63327704529519</v>
      </c>
      <c r="J115" s="1">
        <v>99</v>
      </c>
    </row>
    <row r="116" spans="1:10" x14ac:dyDescent="0.3">
      <c r="A116" s="4" t="s">
        <v>43</v>
      </c>
      <c r="B116" s="4" t="s">
        <v>142</v>
      </c>
      <c r="C116" s="4">
        <v>3</v>
      </c>
      <c r="D116" s="4">
        <v>70276282061.393295</v>
      </c>
      <c r="E116" s="4">
        <v>266657693.50440001</v>
      </c>
      <c r="F116" s="4">
        <v>351381410.30699998</v>
      </c>
      <c r="G116" s="4">
        <v>1333.2884675</v>
      </c>
      <c r="H116" s="11">
        <v>11.142231427795741</v>
      </c>
      <c r="I116" s="11">
        <v>119.66081266037422</v>
      </c>
      <c r="J116" s="1">
        <v>86.5</v>
      </c>
    </row>
    <row r="117" spans="1:10" x14ac:dyDescent="0.3">
      <c r="A117" s="4" t="s">
        <v>30</v>
      </c>
      <c r="B117" s="4" t="s">
        <v>97</v>
      </c>
      <c r="C117" s="4">
        <v>15</v>
      </c>
      <c r="D117" s="4">
        <v>54075831166.779297</v>
      </c>
      <c r="E117" s="4">
        <v>263376052.36680001</v>
      </c>
      <c r="F117" s="4">
        <v>270379155.83389997</v>
      </c>
      <c r="G117" s="4">
        <v>1316.8802618</v>
      </c>
      <c r="H117" s="11">
        <v>8.573666788238727</v>
      </c>
      <c r="I117" s="11">
        <v>153.59592276276513</v>
      </c>
      <c r="J117" s="1">
        <v>87</v>
      </c>
    </row>
    <row r="118" spans="1:10" ht="13.5" customHeight="1" x14ac:dyDescent="0.3">
      <c r="A118" s="4" t="s">
        <v>43</v>
      </c>
      <c r="B118" s="4" t="s">
        <v>148</v>
      </c>
      <c r="C118" s="4">
        <v>10</v>
      </c>
      <c r="D118" s="4">
        <v>24127631808.026299</v>
      </c>
      <c r="E118" s="4">
        <v>255775916.53009999</v>
      </c>
      <c r="F118" s="4">
        <v>120638159.04009999</v>
      </c>
      <c r="G118" s="4">
        <v>1278.8795826999999</v>
      </c>
      <c r="H118" s="11">
        <v>3.8254109284668787</v>
      </c>
      <c r="I118" s="11">
        <v>334.31168745380779</v>
      </c>
      <c r="J118" s="1">
        <v>96.5</v>
      </c>
    </row>
    <row r="119" spans="1:10" ht="13.5" customHeight="1" x14ac:dyDescent="0.3">
      <c r="A119" s="4" t="s">
        <v>29</v>
      </c>
      <c r="B119" s="4" t="s">
        <v>140</v>
      </c>
      <c r="C119" s="4">
        <v>2</v>
      </c>
      <c r="D119" s="4">
        <v>59069372676.395798</v>
      </c>
      <c r="E119" s="4">
        <v>254687832.3766</v>
      </c>
      <c r="F119" s="4">
        <v>295346863.38200003</v>
      </c>
      <c r="G119" s="4">
        <v>1273.4391619</v>
      </c>
      <c r="H119" s="11">
        <v>9.3653876008998918</v>
      </c>
      <c r="I119" s="11">
        <v>135.97292671342711</v>
      </c>
      <c r="J119" s="1">
        <v>87.5</v>
      </c>
    </row>
    <row r="120" spans="1:10" ht="13.5" customHeight="1" x14ac:dyDescent="0.3">
      <c r="A120" s="4" t="s">
        <v>33</v>
      </c>
      <c r="B120" s="4" t="s">
        <v>145</v>
      </c>
      <c r="C120" s="4">
        <v>7.6</v>
      </c>
      <c r="D120" s="4">
        <v>19225194033.1968</v>
      </c>
      <c r="E120" s="4">
        <v>252997654.88229999</v>
      </c>
      <c r="F120" s="4">
        <v>96125970.165999994</v>
      </c>
      <c r="G120" s="4">
        <v>1264.9882743999999</v>
      </c>
      <c r="H120" s="11">
        <v>3.0481345182009134</v>
      </c>
      <c r="I120" s="11">
        <v>415.00408425105468</v>
      </c>
      <c r="J120" s="1">
        <v>99.5</v>
      </c>
    </row>
    <row r="121" spans="1:10" ht="13.5" customHeight="1" x14ac:dyDescent="0.3">
      <c r="A121" s="4" t="s">
        <v>33</v>
      </c>
      <c r="B121" s="4" t="s">
        <v>130</v>
      </c>
      <c r="C121" s="4">
        <v>4.3</v>
      </c>
      <c r="D121" s="4">
        <v>31630163590.4841</v>
      </c>
      <c r="E121" s="4">
        <v>251768290.25560001</v>
      </c>
      <c r="F121" s="4">
        <v>158150817.9524</v>
      </c>
      <c r="G121" s="4">
        <v>1258.8414513</v>
      </c>
      <c r="H121" s="11">
        <v>5.0149295393334761</v>
      </c>
      <c r="I121" s="11">
        <v>251.01877133597972</v>
      </c>
      <c r="J121" s="1">
        <v>94</v>
      </c>
    </row>
    <row r="122" spans="1:10" ht="13.5" customHeight="1" x14ac:dyDescent="0.3">
      <c r="A122" s="4" t="s">
        <v>29</v>
      </c>
      <c r="B122" s="4" t="s">
        <v>133</v>
      </c>
      <c r="C122" s="4">
        <v>2</v>
      </c>
      <c r="D122" s="4">
        <v>46099026635.306602</v>
      </c>
      <c r="E122" s="4">
        <v>226125763.73949999</v>
      </c>
      <c r="F122" s="4">
        <v>230495133.17649999</v>
      </c>
      <c r="G122" s="4">
        <v>1130.6288187</v>
      </c>
      <c r="H122" s="11">
        <v>7.308952726297977</v>
      </c>
      <c r="I122" s="11">
        <v>154.6909469850504</v>
      </c>
      <c r="J122" s="1">
        <v>74</v>
      </c>
    </row>
    <row r="123" spans="1:10" ht="13.5" customHeight="1" x14ac:dyDescent="0.3">
      <c r="A123" s="4" t="s">
        <v>34</v>
      </c>
      <c r="B123" s="4" t="s">
        <v>104</v>
      </c>
      <c r="C123" s="4">
        <v>4.3</v>
      </c>
      <c r="D123" s="4">
        <v>32077056143.231701</v>
      </c>
      <c r="E123" s="4">
        <v>217544756.127</v>
      </c>
      <c r="F123" s="4">
        <v>160385280.71619999</v>
      </c>
      <c r="G123" s="4">
        <v>1087.7237806000001</v>
      </c>
      <c r="H123" s="11">
        <v>5.0857838887670761</v>
      </c>
      <c r="I123" s="11">
        <v>213.8753443697137</v>
      </c>
      <c r="J123" s="1">
        <v>97.5</v>
      </c>
    </row>
    <row r="124" spans="1:10" ht="13.5" customHeight="1" x14ac:dyDescent="0.3">
      <c r="A124" s="4" t="s">
        <v>33</v>
      </c>
      <c r="B124" s="4" t="s">
        <v>129</v>
      </c>
      <c r="C124" s="4">
        <v>1</v>
      </c>
      <c r="D124" s="4">
        <v>96587400160.595703</v>
      </c>
      <c r="E124" s="4">
        <v>211366751.7234</v>
      </c>
      <c r="F124" s="4">
        <v>482937000.80299997</v>
      </c>
      <c r="G124" s="4">
        <v>1056.8337586</v>
      </c>
      <c r="H124" s="11">
        <v>15.313831836725599</v>
      </c>
      <c r="I124" s="11">
        <v>69.011712409268043</v>
      </c>
      <c r="J124" s="1">
        <v>94.5</v>
      </c>
    </row>
    <row r="125" spans="1:10" ht="13.5" customHeight="1" x14ac:dyDescent="0.3">
      <c r="A125" s="4" t="s">
        <v>34</v>
      </c>
      <c r="B125" s="4" t="s">
        <v>105</v>
      </c>
      <c r="C125" s="4">
        <v>18</v>
      </c>
      <c r="D125" s="4">
        <v>74757408191.747299</v>
      </c>
      <c r="E125" s="4">
        <v>204187116.2579</v>
      </c>
      <c r="F125" s="4">
        <v>373787040.9587</v>
      </c>
      <c r="G125" s="4">
        <v>1020.9355813</v>
      </c>
      <c r="H125" s="11">
        <v>11.852709315028427</v>
      </c>
      <c r="I125" s="11">
        <v>86.135207922928075</v>
      </c>
      <c r="J125" s="1">
        <v>90.5</v>
      </c>
    </row>
    <row r="126" spans="1:10" ht="13.5" customHeight="1" x14ac:dyDescent="0.3">
      <c r="A126" s="4" t="s">
        <v>34</v>
      </c>
      <c r="B126" s="4" t="s">
        <v>116</v>
      </c>
      <c r="C126" s="4">
        <v>1</v>
      </c>
      <c r="D126" s="4">
        <v>98317188640.332596</v>
      </c>
      <c r="E126" s="4">
        <v>192830528.32780001</v>
      </c>
      <c r="F126" s="4">
        <v>491585943.20169997</v>
      </c>
      <c r="G126" s="4">
        <v>964.15264159999992</v>
      </c>
      <c r="H126" s="11">
        <v>15.588088001067446</v>
      </c>
      <c r="I126" s="11">
        <v>61.851885974339922</v>
      </c>
      <c r="J126" s="1">
        <v>98.5</v>
      </c>
    </row>
    <row r="127" spans="1:10" ht="13.5" customHeight="1" x14ac:dyDescent="0.3">
      <c r="A127" s="4" t="s">
        <v>29</v>
      </c>
      <c r="B127" s="4" t="s">
        <v>137</v>
      </c>
      <c r="C127" s="4">
        <v>15</v>
      </c>
      <c r="D127" s="4">
        <v>56945598450.6175</v>
      </c>
      <c r="E127" s="4">
        <v>189821784.45649999</v>
      </c>
      <c r="F127" s="4">
        <v>284727992.25309998</v>
      </c>
      <c r="G127" s="4">
        <v>949.10892230000002</v>
      </c>
      <c r="H127" s="11">
        <v>9.0286654063003393</v>
      </c>
      <c r="I127" s="11">
        <v>105.12172946819997</v>
      </c>
      <c r="J127" s="1">
        <v>99</v>
      </c>
    </row>
    <row r="128" spans="1:10" ht="13.5" customHeight="1" x14ac:dyDescent="0.3">
      <c r="A128" s="4" t="s">
        <v>34</v>
      </c>
      <c r="B128" s="4" t="s">
        <v>112</v>
      </c>
      <c r="C128" s="4">
        <v>3.5</v>
      </c>
      <c r="D128" s="4">
        <v>50016574834.183998</v>
      </c>
      <c r="E128" s="4">
        <v>185555641.6164</v>
      </c>
      <c r="F128" s="4">
        <v>250082874.17089999</v>
      </c>
      <c r="G128" s="4">
        <v>927.77820810000003</v>
      </c>
      <c r="H128" s="11">
        <v>7.9300759186618466</v>
      </c>
      <c r="I128" s="11">
        <v>116.99487087086514</v>
      </c>
      <c r="J128" s="1">
        <v>96</v>
      </c>
    </row>
    <row r="129" spans="1:10" ht="13.5" customHeight="1" x14ac:dyDescent="0.3">
      <c r="A129" s="4" t="s">
        <v>34</v>
      </c>
      <c r="B129" s="4" t="s">
        <v>98</v>
      </c>
      <c r="C129" s="4">
        <v>8.6</v>
      </c>
      <c r="D129" s="4">
        <v>29619533291.260201</v>
      </c>
      <c r="E129" s="4">
        <v>183842720.9817</v>
      </c>
      <c r="F129" s="4">
        <v>148097666.45629999</v>
      </c>
      <c r="G129" s="4">
        <v>919.21360490000006</v>
      </c>
      <c r="H129" s="11">
        <v>4.6961461966102549</v>
      </c>
      <c r="I129" s="11">
        <v>195.73785960145395</v>
      </c>
      <c r="J129" s="1">
        <v>98</v>
      </c>
    </row>
    <row r="130" spans="1:10" ht="13.5" customHeight="1" x14ac:dyDescent="0.3">
      <c r="A130" s="4" t="s">
        <v>41</v>
      </c>
      <c r="B130" s="4" t="s">
        <v>106</v>
      </c>
      <c r="C130" s="4">
        <v>1.5</v>
      </c>
      <c r="D130" s="4">
        <v>21520186253.273499</v>
      </c>
      <c r="E130" s="4">
        <v>173108253.8378</v>
      </c>
      <c r="F130" s="4">
        <v>107600931.26639999</v>
      </c>
      <c r="G130" s="4">
        <v>865.54126919999999</v>
      </c>
      <c r="H130" s="11">
        <v>3.4120031477158643</v>
      </c>
      <c r="I130" s="11">
        <v>253.67540172975194</v>
      </c>
      <c r="J130" s="1">
        <v>93.5</v>
      </c>
    </row>
    <row r="131" spans="1:10" ht="13.5" customHeight="1" x14ac:dyDescent="0.3">
      <c r="A131" s="4" t="s">
        <v>34</v>
      </c>
      <c r="B131" s="4" t="s">
        <v>102</v>
      </c>
      <c r="C131" s="4">
        <v>1</v>
      </c>
      <c r="D131" s="4">
        <v>68616644119.596603</v>
      </c>
      <c r="E131" s="4">
        <v>161896779.09720001</v>
      </c>
      <c r="F131" s="4">
        <v>343083220.59799999</v>
      </c>
      <c r="G131" s="4">
        <v>809.48389550000002</v>
      </c>
      <c r="H131" s="11">
        <v>10.879097558282059</v>
      </c>
      <c r="I131" s="11">
        <v>74.407265047803037</v>
      </c>
      <c r="J131" s="1">
        <v>96</v>
      </c>
    </row>
    <row r="132" spans="1:10" ht="13.5" customHeight="1" x14ac:dyDescent="0.3">
      <c r="A132" s="4" t="s">
        <v>34</v>
      </c>
      <c r="B132" s="4" t="s">
        <v>110</v>
      </c>
      <c r="C132" s="4">
        <v>7.6</v>
      </c>
      <c r="D132" s="4">
        <v>19166476877.6549</v>
      </c>
      <c r="E132" s="4">
        <v>160675244.90540001</v>
      </c>
      <c r="F132" s="4">
        <v>95832384.388300002</v>
      </c>
      <c r="G132" s="4">
        <v>803.37622450000003</v>
      </c>
      <c r="H132" s="11">
        <v>3.0388249742603533</v>
      </c>
      <c r="I132" s="11">
        <v>264.37067988607703</v>
      </c>
      <c r="J132" s="1">
        <v>99.5</v>
      </c>
    </row>
    <row r="133" spans="1:10" ht="13.5" customHeight="1" x14ac:dyDescent="0.3">
      <c r="A133" s="4" t="s">
        <v>42</v>
      </c>
      <c r="B133" s="4" t="s">
        <v>141</v>
      </c>
      <c r="C133" s="4">
        <v>1.5</v>
      </c>
      <c r="D133" s="4">
        <v>21445203475.539001</v>
      </c>
      <c r="E133" s="4">
        <v>158347030.0345</v>
      </c>
      <c r="F133" s="4">
        <v>107226017.3777</v>
      </c>
      <c r="G133" s="4">
        <v>791.73515020000002</v>
      </c>
      <c r="H133" s="11">
        <v>3.4001147062942354</v>
      </c>
      <c r="I133" s="11">
        <v>232.85542359331382</v>
      </c>
      <c r="J133" s="1">
        <v>100</v>
      </c>
    </row>
    <row r="134" spans="1:10" ht="13.5" customHeight="1" x14ac:dyDescent="0.3">
      <c r="A134" s="4" t="s">
        <v>31</v>
      </c>
      <c r="B134" s="4" t="s">
        <v>143</v>
      </c>
      <c r="C134" s="4">
        <v>3</v>
      </c>
      <c r="D134" s="4">
        <v>44715900903.464798</v>
      </c>
      <c r="E134" s="4">
        <v>154232737.83149999</v>
      </c>
      <c r="F134" s="4">
        <v>223579504.51730001</v>
      </c>
      <c r="G134" s="4">
        <v>771.16368920000002</v>
      </c>
      <c r="H134" s="11">
        <v>7.0896595800774982</v>
      </c>
      <c r="I134" s="11">
        <v>108.77302083262654</v>
      </c>
      <c r="J134" s="1">
        <v>89.5</v>
      </c>
    </row>
    <row r="135" spans="1:10" ht="13.5" customHeight="1" x14ac:dyDescent="0.3">
      <c r="A135" s="4" t="s">
        <v>31</v>
      </c>
      <c r="B135" s="4" t="s">
        <v>150</v>
      </c>
      <c r="C135" s="4">
        <v>1.5</v>
      </c>
      <c r="D135" s="4">
        <v>19072968494.360298</v>
      </c>
      <c r="E135" s="4">
        <v>152885802.2071</v>
      </c>
      <c r="F135" s="4">
        <v>95364842.471799999</v>
      </c>
      <c r="G135" s="4">
        <v>764.42901100000006</v>
      </c>
      <c r="H135" s="11">
        <v>3.0239993173453037</v>
      </c>
      <c r="I135" s="11">
        <v>252.78742842808376</v>
      </c>
      <c r="J135" s="1">
        <v>98.5</v>
      </c>
    </row>
    <row r="136" spans="1:10" ht="13.5" customHeight="1" x14ac:dyDescent="0.3">
      <c r="A136" s="4" t="s">
        <v>12</v>
      </c>
      <c r="B136" s="4" t="s">
        <v>113</v>
      </c>
      <c r="C136" s="4">
        <v>18</v>
      </c>
      <c r="D136" s="4">
        <v>71630866107.829407</v>
      </c>
      <c r="E136" s="4">
        <v>151500352.54030001</v>
      </c>
      <c r="F136" s="4">
        <v>358154330.53909999</v>
      </c>
      <c r="G136" s="4">
        <v>757.50176269999997</v>
      </c>
      <c r="H136" s="11">
        <v>11.356999319480817</v>
      </c>
      <c r="I136" s="11">
        <v>66.699111392975681</v>
      </c>
      <c r="J136" s="1">
        <v>99</v>
      </c>
    </row>
    <row r="137" spans="1:10" ht="13.5" customHeight="1" x14ac:dyDescent="0.3">
      <c r="A137" s="4" t="s">
        <v>31</v>
      </c>
      <c r="B137" s="4" t="s">
        <v>146</v>
      </c>
      <c r="C137" s="4">
        <v>1</v>
      </c>
      <c r="D137" s="4">
        <v>57883264499.601303</v>
      </c>
      <c r="E137" s="4">
        <v>150485303.0293</v>
      </c>
      <c r="F137" s="4">
        <v>289416322.49800003</v>
      </c>
      <c r="G137" s="4">
        <v>752.42651509999996</v>
      </c>
      <c r="H137" s="11">
        <v>9.1773313831179131</v>
      </c>
      <c r="I137" s="11">
        <v>81.987506355509851</v>
      </c>
      <c r="J137" s="1">
        <v>91.5</v>
      </c>
    </row>
    <row r="138" spans="1:10" ht="13.5" customHeight="1" x14ac:dyDescent="0.3">
      <c r="A138" s="4" t="s">
        <v>34</v>
      </c>
      <c r="B138" s="4" t="s">
        <v>101</v>
      </c>
      <c r="C138" s="4">
        <v>5.5</v>
      </c>
      <c r="D138" s="4">
        <v>44033544013.938202</v>
      </c>
      <c r="E138" s="4">
        <v>149406606.39109999</v>
      </c>
      <c r="F138" s="4">
        <v>220167720.0697</v>
      </c>
      <c r="G138" s="4">
        <v>747.03303200000005</v>
      </c>
      <c r="H138" s="11">
        <v>6.9814726049496132</v>
      </c>
      <c r="I138" s="11">
        <v>107.00221490096237</v>
      </c>
      <c r="J138" s="1">
        <v>96.5</v>
      </c>
    </row>
    <row r="139" spans="1:10" ht="13.5" customHeight="1" x14ac:dyDescent="0.3">
      <c r="A139" s="4" t="s">
        <v>31</v>
      </c>
      <c r="B139" s="4" t="s">
        <v>147</v>
      </c>
      <c r="C139" s="4">
        <v>2</v>
      </c>
      <c r="D139" s="4">
        <v>57228311484.908501</v>
      </c>
      <c r="E139" s="4">
        <v>145133531.60929999</v>
      </c>
      <c r="F139" s="4">
        <v>286141557.42449999</v>
      </c>
      <c r="G139" s="4">
        <v>725.66765800000007</v>
      </c>
      <c r="H139" s="11">
        <v>9.0734892638426725</v>
      </c>
      <c r="I139" s="11">
        <v>79.976692196214259</v>
      </c>
      <c r="J139" s="1">
        <v>90</v>
      </c>
    </row>
    <row r="140" spans="1:10" ht="13.5" customHeight="1" x14ac:dyDescent="0.3">
      <c r="A140" s="4" t="s">
        <v>28</v>
      </c>
      <c r="B140" s="4" t="s">
        <v>95</v>
      </c>
      <c r="C140" s="4">
        <v>10</v>
      </c>
      <c r="D140" s="4">
        <v>15811396413.8915</v>
      </c>
      <c r="E140" s="4">
        <v>141736915.02250001</v>
      </c>
      <c r="F140" s="4">
        <v>79056982.069499999</v>
      </c>
      <c r="G140" s="4">
        <v>708.68457509999996</v>
      </c>
      <c r="H140" s="11">
        <v>2.5068804562867042</v>
      </c>
      <c r="I140" s="11">
        <v>282.69579960335767</v>
      </c>
      <c r="J140" s="1">
        <v>98.5</v>
      </c>
    </row>
    <row r="141" spans="1:10" ht="13.5" customHeight="1" x14ac:dyDescent="0.3">
      <c r="A141" s="4" t="s">
        <v>31</v>
      </c>
      <c r="B141" s="4" t="s">
        <v>149</v>
      </c>
      <c r="C141" s="4">
        <v>7</v>
      </c>
      <c r="D141" s="4">
        <v>30062788499.6838</v>
      </c>
      <c r="E141" s="4">
        <v>139770883.4716</v>
      </c>
      <c r="F141" s="4">
        <v>150313942.4984</v>
      </c>
      <c r="G141" s="4">
        <v>698.85441739999999</v>
      </c>
      <c r="H141" s="11">
        <v>4.7664238488844175</v>
      </c>
      <c r="I141" s="11">
        <v>146.62028379275733</v>
      </c>
      <c r="J141" s="1">
        <v>96</v>
      </c>
    </row>
    <row r="142" spans="1:10" ht="13.5" customHeight="1" x14ac:dyDescent="0.3">
      <c r="A142" s="4" t="s">
        <v>12</v>
      </c>
      <c r="B142" s="4" t="s">
        <v>107</v>
      </c>
      <c r="C142" s="4">
        <v>1.3</v>
      </c>
      <c r="D142" s="4">
        <v>34743097707.935799</v>
      </c>
      <c r="E142" s="4">
        <v>137310862.22490001</v>
      </c>
      <c r="F142" s="4">
        <v>173715488.5397</v>
      </c>
      <c r="G142" s="4">
        <v>686.55431110000006</v>
      </c>
      <c r="H142" s="11">
        <v>5.5084820059512616</v>
      </c>
      <c r="I142" s="11">
        <v>124.63584529426792</v>
      </c>
      <c r="J142" s="1">
        <v>86</v>
      </c>
    </row>
    <row r="143" spans="1:10" ht="13.5" customHeight="1" x14ac:dyDescent="0.3">
      <c r="A143" s="4" t="s">
        <v>45</v>
      </c>
      <c r="B143" s="4" t="s">
        <v>117</v>
      </c>
      <c r="C143" s="4">
        <v>2.2999999999999998</v>
      </c>
      <c r="D143" s="4">
        <v>52152650734.420403</v>
      </c>
      <c r="E143" s="4">
        <v>135873378.83140001</v>
      </c>
      <c r="F143" s="4">
        <v>260763253.67210001</v>
      </c>
      <c r="G143" s="4">
        <v>679.36689419999993</v>
      </c>
      <c r="H143" s="11">
        <v>8.2687485309519921</v>
      </c>
      <c r="I143" s="11">
        <v>82.16078789395516</v>
      </c>
      <c r="J143" s="1">
        <v>85</v>
      </c>
    </row>
    <row r="144" spans="1:10" x14ac:dyDescent="0.3">
      <c r="A144" s="4" t="s">
        <v>12</v>
      </c>
      <c r="B144" s="4" t="s">
        <v>128</v>
      </c>
      <c r="C144" s="4">
        <v>1.6</v>
      </c>
      <c r="D144" s="4">
        <v>133808958204.6209</v>
      </c>
      <c r="E144" s="4">
        <v>133647121.8987</v>
      </c>
      <c r="F144" s="4">
        <v>669044791.02310002</v>
      </c>
      <c r="G144" s="4">
        <v>668.23560950000001</v>
      </c>
      <c r="H144" s="11">
        <v>21.21527115116389</v>
      </c>
      <c r="I144" s="11">
        <v>31.4978585349516</v>
      </c>
      <c r="J144" s="1">
        <v>86</v>
      </c>
    </row>
    <row r="145" spans="1:14" x14ac:dyDescent="0.3">
      <c r="A145" s="4" t="s">
        <v>45</v>
      </c>
      <c r="B145" s="4" t="s">
        <v>122</v>
      </c>
      <c r="C145" s="4">
        <v>1.3</v>
      </c>
      <c r="D145" s="4">
        <v>76824252709.234894</v>
      </c>
      <c r="E145" s="4">
        <v>123472112.55670001</v>
      </c>
      <c r="F145" s="4">
        <v>384121263.54619998</v>
      </c>
      <c r="G145" s="4">
        <v>617.36056279999991</v>
      </c>
      <c r="H145" s="11">
        <v>12.180405363590006</v>
      </c>
      <c r="I145" s="11">
        <v>50.684730464343218</v>
      </c>
      <c r="J145" s="1">
        <v>80</v>
      </c>
    </row>
    <row r="146" spans="1:14" x14ac:dyDescent="0.3">
      <c r="A146" s="4" t="s">
        <v>45</v>
      </c>
      <c r="B146" s="4" t="s">
        <v>120</v>
      </c>
      <c r="C146" s="4">
        <v>1</v>
      </c>
      <c r="D146" s="4">
        <v>74274598456.511307</v>
      </c>
      <c r="E146" s="4">
        <v>120034411.8633</v>
      </c>
      <c r="F146" s="4">
        <v>371372992.28259999</v>
      </c>
      <c r="G146" s="4">
        <v>600.1720593</v>
      </c>
      <c r="H146" s="11">
        <v>11.776160333668079</v>
      </c>
      <c r="I146" s="11">
        <v>50.965004067081715</v>
      </c>
      <c r="J146" s="1">
        <v>71</v>
      </c>
    </row>
    <row r="147" spans="1:14" x14ac:dyDescent="0.3">
      <c r="A147" s="4" t="s">
        <v>45</v>
      </c>
      <c r="B147" s="4" t="s">
        <v>119</v>
      </c>
      <c r="C147" s="4">
        <v>9.25</v>
      </c>
      <c r="D147" s="4">
        <v>74580925960.706894</v>
      </c>
      <c r="E147" s="4">
        <v>119760605.40260001</v>
      </c>
      <c r="F147" s="4">
        <v>372904629.8035</v>
      </c>
      <c r="G147" s="4">
        <v>598.80302700000004</v>
      </c>
      <c r="H147" s="11">
        <v>11.824728240852817</v>
      </c>
      <c r="I147" s="11">
        <v>50.639897577621916</v>
      </c>
      <c r="J147" s="1">
        <v>79</v>
      </c>
    </row>
    <row r="148" spans="1:14" x14ac:dyDescent="0.3">
      <c r="A148" s="4" t="s">
        <v>45</v>
      </c>
      <c r="B148" s="4" t="s">
        <v>124</v>
      </c>
      <c r="C148" s="4">
        <v>1</v>
      </c>
      <c r="D148" s="4">
        <v>86928745230.505905</v>
      </c>
      <c r="E148" s="4">
        <v>115164766.2691</v>
      </c>
      <c r="F148" s="4">
        <v>434643726.15249997</v>
      </c>
      <c r="G148" s="4">
        <v>575.82383129999994</v>
      </c>
      <c r="H148" s="11">
        <v>13.78246214334505</v>
      </c>
      <c r="I148" s="11">
        <v>41.779460397650368</v>
      </c>
      <c r="J148" s="1">
        <v>77</v>
      </c>
    </row>
    <row r="149" spans="1:14" x14ac:dyDescent="0.3">
      <c r="A149" s="4" t="s">
        <v>44</v>
      </c>
      <c r="B149" s="4" t="s">
        <v>123</v>
      </c>
      <c r="C149" s="4">
        <v>7</v>
      </c>
      <c r="D149" s="4">
        <v>24947974174.570599</v>
      </c>
      <c r="E149" s="4">
        <v>114376159.92039999</v>
      </c>
      <c r="F149" s="4">
        <v>124739870.87289999</v>
      </c>
      <c r="G149" s="4">
        <v>571.88079960000005</v>
      </c>
      <c r="H149" s="11">
        <v>3.9554753574598234</v>
      </c>
      <c r="I149" s="11">
        <v>144.57953796159094</v>
      </c>
      <c r="J149" s="1">
        <v>91</v>
      </c>
    </row>
    <row r="150" spans="1:14" x14ac:dyDescent="0.3">
      <c r="A150" s="4" t="s">
        <v>45</v>
      </c>
      <c r="B150" s="4" t="s">
        <v>121</v>
      </c>
      <c r="C150" s="4">
        <v>1.8</v>
      </c>
      <c r="D150" s="4">
        <v>63557162321.465797</v>
      </c>
      <c r="E150" s="4">
        <v>113159110.6512</v>
      </c>
      <c r="F150" s="4">
        <v>317785811.60729998</v>
      </c>
      <c r="G150" s="4">
        <v>565.79555330000005</v>
      </c>
      <c r="H150" s="11">
        <v>10.076921981460204</v>
      </c>
      <c r="I150" s="11">
        <v>56.1476564312958</v>
      </c>
      <c r="J150" s="1">
        <v>83</v>
      </c>
    </row>
    <row r="151" spans="1:14" x14ac:dyDescent="0.3">
      <c r="A151" s="4" t="s">
        <v>45</v>
      </c>
      <c r="B151" s="4" t="s">
        <v>126</v>
      </c>
      <c r="C151" s="4">
        <v>0.4</v>
      </c>
      <c r="D151" s="4">
        <v>129354330068.7515</v>
      </c>
      <c r="E151" s="4">
        <v>111623540.2472</v>
      </c>
      <c r="F151" s="4">
        <v>646771650.34379995</v>
      </c>
      <c r="G151" s="4">
        <v>558.11770120000006</v>
      </c>
      <c r="H151" s="11">
        <v>20.508994493396674</v>
      </c>
      <c r="I151" s="11">
        <v>27.213313718510111</v>
      </c>
      <c r="J151" s="1">
        <v>58.5</v>
      </c>
    </row>
    <row r="152" spans="1:14" x14ac:dyDescent="0.3">
      <c r="A152" s="4" t="s">
        <v>44</v>
      </c>
      <c r="B152" s="4" t="s">
        <v>111</v>
      </c>
      <c r="C152" s="4">
        <v>15</v>
      </c>
      <c r="D152" s="4">
        <v>23092801894.476101</v>
      </c>
      <c r="E152" s="4">
        <v>105299456.6837</v>
      </c>
      <c r="F152" s="4">
        <v>115464009.47239999</v>
      </c>
      <c r="G152" s="4">
        <v>526.4972833999999</v>
      </c>
      <c r="H152" s="11">
        <v>3.6613397219806094</v>
      </c>
      <c r="I152" s="11">
        <v>143.79907994857962</v>
      </c>
      <c r="J152" s="1">
        <v>88.5</v>
      </c>
    </row>
    <row r="153" spans="1:14" x14ac:dyDescent="0.3">
      <c r="A153" s="4" t="s">
        <v>44</v>
      </c>
      <c r="B153" s="4" t="s">
        <v>118</v>
      </c>
      <c r="C153" s="4">
        <v>1.5</v>
      </c>
      <c r="D153" s="4">
        <v>58072965669.866302</v>
      </c>
      <c r="E153" s="4">
        <v>100978028.12540001</v>
      </c>
      <c r="F153" s="4">
        <v>290364828.34930003</v>
      </c>
      <c r="G153" s="4">
        <v>504.8901406</v>
      </c>
      <c r="H153" s="11">
        <v>9.207408306358813</v>
      </c>
      <c r="I153" s="11">
        <v>54.835207020341777</v>
      </c>
      <c r="J153" s="1">
        <v>56.5</v>
      </c>
    </row>
    <row r="154" spans="1:14" x14ac:dyDescent="0.3">
      <c r="A154" s="4" t="s">
        <v>44</v>
      </c>
      <c r="B154" s="4" t="s">
        <v>125</v>
      </c>
      <c r="C154" s="4">
        <v>0.5</v>
      </c>
      <c r="D154" s="4">
        <v>58871777978.424103</v>
      </c>
      <c r="E154" s="4">
        <v>99840975.794400007</v>
      </c>
      <c r="F154" s="4">
        <v>294358889.89209998</v>
      </c>
      <c r="G154" s="4">
        <v>499.20487900000001</v>
      </c>
      <c r="H154" s="11">
        <v>9.3340591670510058</v>
      </c>
      <c r="I154" s="11">
        <v>53.482077846922238</v>
      </c>
      <c r="J154" s="1">
        <v>68.5</v>
      </c>
    </row>
    <row r="155" spans="1:14" x14ac:dyDescent="0.3">
      <c r="A155" s="4" t="s">
        <v>44</v>
      </c>
      <c r="B155" s="4" t="s">
        <v>127</v>
      </c>
      <c r="C155" s="4">
        <v>3</v>
      </c>
      <c r="D155" s="4">
        <v>56811141820.153</v>
      </c>
      <c r="E155" s="4">
        <v>88992299.990099996</v>
      </c>
      <c r="F155" s="4">
        <v>284055709.10079998</v>
      </c>
      <c r="G155" s="4">
        <v>444.9615</v>
      </c>
      <c r="H155" s="11">
        <v>9.0073474473860031</v>
      </c>
      <c r="I155" s="11">
        <v>49.399837477028939</v>
      </c>
      <c r="J155" s="1">
        <v>58</v>
      </c>
    </row>
    <row r="156" spans="1:14" ht="46.15" x14ac:dyDescent="0.3">
      <c r="A156" s="21" t="s">
        <v>8</v>
      </c>
      <c r="B156" s="22"/>
      <c r="C156" s="22"/>
      <c r="D156" s="22"/>
      <c r="E156" s="22"/>
      <c r="F156" s="22"/>
      <c r="G156" s="22"/>
      <c r="H156" s="22"/>
      <c r="I156" s="22"/>
      <c r="J156" s="22"/>
    </row>
    <row r="157" spans="1:14" x14ac:dyDescent="0.3">
      <c r="A157" s="4" t="s">
        <v>12</v>
      </c>
      <c r="B157" s="4" t="s">
        <v>162</v>
      </c>
      <c r="C157" s="4">
        <v>1.5</v>
      </c>
      <c r="D157" s="4">
        <v>63944704250.909897</v>
      </c>
      <c r="E157" s="4">
        <v>603412757.3355</v>
      </c>
      <c r="F157" s="4">
        <v>319723521.25449997</v>
      </c>
      <c r="G157" s="4">
        <v>3017.0637867</v>
      </c>
      <c r="H157" s="11">
        <v>10.138366351298499</v>
      </c>
      <c r="I157" s="11">
        <v>297.58875169406178</v>
      </c>
      <c r="J157" s="1">
        <v>93</v>
      </c>
      <c r="K157" t="str">
        <f>ROUND(AVERAGE(G157:G213),2)&amp;"±"&amp;ROUND(_xlfn.STDEV.P(G157:G213),2)</f>
        <v>1267.59±881.11</v>
      </c>
      <c r="L157" t="str">
        <f>ROUND(AVERAGE(H157:H213),2)&amp;"±"&amp;ROUND(_xlfn.STDEV.P(H157:H213),2)</f>
        <v>9.89±1.92</v>
      </c>
      <c r="M157" t="str">
        <f>ROUND(AVERAGE(I157:I213),2)&amp;"±"&amp;ROUND(_xlfn.STDEV.P(I157:I213),2)</f>
        <v>132.34±99.75</v>
      </c>
      <c r="N157" t="str">
        <f>ROUND(AVERAGE(J157:J213),2)&amp;"±"&amp;ROUND(_xlfn.STDEV.P(J157:J213),2)</f>
        <v>75.69±18.69</v>
      </c>
    </row>
    <row r="158" spans="1:14" x14ac:dyDescent="0.3">
      <c r="A158" s="4" t="s">
        <v>12</v>
      </c>
      <c r="B158" s="4" t="s">
        <v>163</v>
      </c>
      <c r="C158" s="4">
        <v>1.5</v>
      </c>
      <c r="D158" s="4">
        <v>71328692870.912094</v>
      </c>
      <c r="E158" s="4">
        <v>584943340.80219996</v>
      </c>
      <c r="F158" s="4">
        <v>356643464.35460001</v>
      </c>
      <c r="G158" s="4">
        <v>2924.7167039999999</v>
      </c>
      <c r="H158" s="11">
        <v>11.309090067052272</v>
      </c>
      <c r="I158" s="11">
        <v>258.61644806604062</v>
      </c>
      <c r="J158" s="1">
        <v>95</v>
      </c>
    </row>
    <row r="159" spans="1:14" x14ac:dyDescent="0.3">
      <c r="A159" s="4" t="s">
        <v>11</v>
      </c>
      <c r="B159" s="4" t="s">
        <v>151</v>
      </c>
      <c r="C159" s="4">
        <v>3.6</v>
      </c>
      <c r="D159" s="4">
        <v>39349243940.8283</v>
      </c>
      <c r="E159" s="4">
        <v>573014956.86119998</v>
      </c>
      <c r="F159" s="4">
        <v>196746219.70410001</v>
      </c>
      <c r="G159" s="4">
        <v>2865.0747842999999</v>
      </c>
      <c r="H159" s="11">
        <v>6.2387817004103727</v>
      </c>
      <c r="I159" s="11">
        <v>459.23626148219643</v>
      </c>
      <c r="J159" s="1">
        <v>94.5</v>
      </c>
    </row>
    <row r="160" spans="1:14" x14ac:dyDescent="0.3">
      <c r="A160" s="4" t="s">
        <v>11</v>
      </c>
      <c r="B160" s="4" t="s">
        <v>153</v>
      </c>
      <c r="C160" s="4">
        <v>1.5</v>
      </c>
      <c r="D160" s="4">
        <v>61652507642.136101</v>
      </c>
      <c r="E160" s="4">
        <v>560181404.63740003</v>
      </c>
      <c r="F160" s="4">
        <v>308262538.21069998</v>
      </c>
      <c r="G160" s="4">
        <v>2800.9070231999999</v>
      </c>
      <c r="H160" s="11">
        <v>9.7749409630479605</v>
      </c>
      <c r="I160" s="11">
        <v>286.53953346503266</v>
      </c>
      <c r="J160" s="1">
        <v>89</v>
      </c>
    </row>
    <row r="161" spans="1:14" x14ac:dyDescent="0.3">
      <c r="A161" s="4" t="s">
        <v>11</v>
      </c>
      <c r="B161" s="4" t="s">
        <v>154</v>
      </c>
      <c r="C161" s="4">
        <v>1.3</v>
      </c>
      <c r="D161" s="4">
        <v>66968951877.085197</v>
      </c>
      <c r="E161" s="4">
        <v>548624959.37549996</v>
      </c>
      <c r="F161" s="4">
        <v>334844759.3854</v>
      </c>
      <c r="G161" s="4">
        <v>2743.1247969000001</v>
      </c>
      <c r="H161" s="11">
        <v>10.617857666965563</v>
      </c>
      <c r="I161" s="11">
        <v>258.35011948167767</v>
      </c>
      <c r="J161" s="1">
        <v>88.5</v>
      </c>
    </row>
    <row r="162" spans="1:14" x14ac:dyDescent="0.3">
      <c r="A162" s="4" t="s">
        <v>12</v>
      </c>
      <c r="B162" s="4" t="s">
        <v>166</v>
      </c>
      <c r="C162" s="4">
        <v>0.2</v>
      </c>
      <c r="D162" s="4">
        <v>102141816451.4321</v>
      </c>
      <c r="E162" s="4">
        <v>533255991.68650001</v>
      </c>
      <c r="F162" s="4">
        <v>510709082.2572</v>
      </c>
      <c r="G162" s="4">
        <v>2666.2799583999999</v>
      </c>
      <c r="H162" s="11">
        <v>16.194478762593878</v>
      </c>
      <c r="I162" s="11">
        <v>164.64129518997501</v>
      </c>
      <c r="J162" s="1">
        <v>0</v>
      </c>
    </row>
    <row r="163" spans="1:14" x14ac:dyDescent="0.3">
      <c r="A163" s="4" t="s">
        <v>11</v>
      </c>
      <c r="B163" s="4" t="s">
        <v>152</v>
      </c>
      <c r="C163" s="4">
        <v>1.3</v>
      </c>
      <c r="D163" s="4">
        <v>66982288911.314499</v>
      </c>
      <c r="E163" s="4">
        <v>530097208.6128</v>
      </c>
      <c r="F163" s="4">
        <v>334911444.55659997</v>
      </c>
      <c r="G163" s="4">
        <v>2650.4860431000002</v>
      </c>
      <c r="H163" s="11">
        <v>10.61997223987102</v>
      </c>
      <c r="I163" s="11">
        <v>249.57560935509474</v>
      </c>
      <c r="J163" s="1">
        <v>87</v>
      </c>
    </row>
    <row r="164" spans="1:14" x14ac:dyDescent="0.3">
      <c r="A164" s="4" t="s">
        <v>12</v>
      </c>
      <c r="B164" s="4" t="s">
        <v>164</v>
      </c>
      <c r="C164" s="4">
        <v>3.6</v>
      </c>
      <c r="D164" s="4">
        <v>39527093753.209297</v>
      </c>
      <c r="E164" s="4">
        <v>392803079.4005</v>
      </c>
      <c r="F164" s="4">
        <v>197635468.766</v>
      </c>
      <c r="G164" s="4">
        <v>1964.0153969999999</v>
      </c>
      <c r="H164" s="11">
        <v>6.2669796031851375</v>
      </c>
      <c r="I164" s="11">
        <v>313.39106257850375</v>
      </c>
      <c r="J164" s="1">
        <v>95.5</v>
      </c>
    </row>
    <row r="165" spans="1:14" x14ac:dyDescent="0.3">
      <c r="A165" s="4" t="s">
        <v>11</v>
      </c>
      <c r="B165" s="4" t="s">
        <v>155</v>
      </c>
      <c r="C165" s="4">
        <v>1</v>
      </c>
      <c r="D165" s="4">
        <v>56436609746.450996</v>
      </c>
      <c r="E165" s="4">
        <v>385186672.94819999</v>
      </c>
      <c r="F165" s="4">
        <v>282183048.73229998</v>
      </c>
      <c r="G165" s="4">
        <v>1925.9333647000001</v>
      </c>
      <c r="H165" s="11">
        <v>8.9479657766443115</v>
      </c>
      <c r="I165" s="11">
        <v>215.23700612791887</v>
      </c>
      <c r="J165" s="1">
        <v>85.5</v>
      </c>
    </row>
    <row r="166" spans="1:14" x14ac:dyDescent="0.3">
      <c r="A166" s="4" t="s">
        <v>11</v>
      </c>
      <c r="B166" s="4" t="s">
        <v>156</v>
      </c>
      <c r="C166" s="4">
        <v>0.95</v>
      </c>
      <c r="D166" s="4">
        <v>75105769615.981003</v>
      </c>
      <c r="E166" s="4">
        <v>369210705.26429999</v>
      </c>
      <c r="F166" s="4">
        <v>375528848.07990003</v>
      </c>
      <c r="G166" s="4">
        <v>1846.0535262999999</v>
      </c>
      <c r="H166" s="11">
        <v>11.90794165651652</v>
      </c>
      <c r="I166" s="11">
        <v>155.02708860601132</v>
      </c>
      <c r="J166" s="1">
        <v>74</v>
      </c>
    </row>
    <row r="167" spans="1:14" x14ac:dyDescent="0.3">
      <c r="A167" s="4" t="s">
        <v>11</v>
      </c>
      <c r="B167" s="4" t="s">
        <v>158</v>
      </c>
      <c r="C167" s="4">
        <v>1.3</v>
      </c>
      <c r="D167" s="4">
        <v>55102851416.304199</v>
      </c>
      <c r="E167" s="4">
        <v>263608306.01280001</v>
      </c>
      <c r="F167" s="4">
        <v>275514257.08149999</v>
      </c>
      <c r="G167" s="4">
        <v>1318.0415301</v>
      </c>
      <c r="H167" s="11">
        <v>8.7364997806164695</v>
      </c>
      <c r="I167" s="11">
        <v>150.86608632719449</v>
      </c>
      <c r="J167" s="1">
        <v>48</v>
      </c>
    </row>
    <row r="168" spans="1:14" x14ac:dyDescent="0.3">
      <c r="A168" s="4" t="s">
        <v>11</v>
      </c>
      <c r="B168" s="4" t="s">
        <v>157</v>
      </c>
      <c r="C168" s="4">
        <v>2</v>
      </c>
      <c r="D168" s="4">
        <v>55994885921.218498</v>
      </c>
      <c r="E168" s="4">
        <v>249086675.09630001</v>
      </c>
      <c r="F168" s="4">
        <v>279974429.60610002</v>
      </c>
      <c r="G168" s="4">
        <v>1245.4333755</v>
      </c>
      <c r="H168" s="11">
        <v>8.8779309235823334</v>
      </c>
      <c r="I168" s="11">
        <v>140.28419304229675</v>
      </c>
      <c r="J168" s="1">
        <v>83</v>
      </c>
      <c r="N168" s="1"/>
    </row>
    <row r="169" spans="1:14" x14ac:dyDescent="0.3">
      <c r="A169" s="4" t="s">
        <v>12</v>
      </c>
      <c r="B169" s="4" t="s">
        <v>165</v>
      </c>
      <c r="C169" s="4">
        <v>1.2</v>
      </c>
      <c r="D169" s="4">
        <v>76986239617.857498</v>
      </c>
      <c r="E169" s="4">
        <v>230118800.17359999</v>
      </c>
      <c r="F169" s="4">
        <v>384931198.08929998</v>
      </c>
      <c r="G169" s="4">
        <v>1150.5940009000001</v>
      </c>
      <c r="H169" s="11">
        <v>12.206088219472587</v>
      </c>
      <c r="I169" s="11">
        <v>94.263942731827655</v>
      </c>
      <c r="J169" s="1">
        <v>83</v>
      </c>
      <c r="N169" s="1"/>
    </row>
    <row r="170" spans="1:14" x14ac:dyDescent="0.3">
      <c r="A170" s="4" t="s">
        <v>12</v>
      </c>
      <c r="B170" s="4" t="s">
        <v>168</v>
      </c>
      <c r="C170" s="4">
        <v>1.2</v>
      </c>
      <c r="D170" s="4">
        <v>68223129150.805496</v>
      </c>
      <c r="E170" s="4">
        <v>229065895.3321</v>
      </c>
      <c r="F170" s="4">
        <v>341115645.75400001</v>
      </c>
      <c r="G170" s="4">
        <v>1145.3294767</v>
      </c>
      <c r="H170" s="11">
        <v>10.816706169267741</v>
      </c>
      <c r="I170" s="11">
        <v>105.88523518870213</v>
      </c>
      <c r="J170" s="1">
        <v>77.5</v>
      </c>
    </row>
    <row r="171" spans="1:14" x14ac:dyDescent="0.3">
      <c r="A171" s="4" t="s">
        <v>12</v>
      </c>
      <c r="B171" s="4" t="s">
        <v>167</v>
      </c>
      <c r="C171" s="4">
        <v>1.3</v>
      </c>
      <c r="D171" s="4">
        <v>72227155915.383896</v>
      </c>
      <c r="E171" s="4">
        <v>222559892.29449999</v>
      </c>
      <c r="F171" s="4">
        <v>361135779.57690001</v>
      </c>
      <c r="G171" s="4">
        <v>1112.7994615</v>
      </c>
      <c r="H171" s="11">
        <v>11.451540448278775</v>
      </c>
      <c r="I171" s="11">
        <v>97.174652312148922</v>
      </c>
      <c r="J171" s="1">
        <v>75.5</v>
      </c>
    </row>
    <row r="172" spans="1:14" x14ac:dyDescent="0.3">
      <c r="A172" s="4" t="s">
        <v>19</v>
      </c>
      <c r="B172" s="4" t="s">
        <v>172</v>
      </c>
      <c r="C172" s="4">
        <v>1.25</v>
      </c>
      <c r="D172" s="4">
        <v>55326612457.679199</v>
      </c>
      <c r="E172" s="4">
        <v>157316711.55410001</v>
      </c>
      <c r="F172" s="4">
        <v>276633062.28839999</v>
      </c>
      <c r="G172" s="4">
        <v>786.58355779999999</v>
      </c>
      <c r="H172" s="11">
        <v>8.7719768609968281</v>
      </c>
      <c r="I172" s="11">
        <v>89.670044764643208</v>
      </c>
      <c r="J172" s="1">
        <v>93</v>
      </c>
    </row>
    <row r="173" spans="1:14" x14ac:dyDescent="0.3">
      <c r="A173" s="4" t="s">
        <v>20</v>
      </c>
      <c r="B173" s="4" t="s">
        <v>169</v>
      </c>
      <c r="C173" s="4">
        <v>1</v>
      </c>
      <c r="D173" s="4">
        <v>53945668587.318802</v>
      </c>
      <c r="E173" s="4">
        <v>153237706.3599</v>
      </c>
      <c r="F173" s="4">
        <v>269728342.93660003</v>
      </c>
      <c r="G173" s="4">
        <v>766.18853179999996</v>
      </c>
      <c r="H173" s="11">
        <v>8.5530296466449141</v>
      </c>
      <c r="I173" s="11">
        <v>89.580951248140678</v>
      </c>
      <c r="J173" s="1">
        <v>75.5</v>
      </c>
    </row>
    <row r="174" spans="1:14" x14ac:dyDescent="0.3">
      <c r="A174" s="4" t="s">
        <v>18</v>
      </c>
      <c r="B174" s="4" t="s">
        <v>160</v>
      </c>
      <c r="C174" s="4">
        <v>1.25</v>
      </c>
      <c r="D174" s="4">
        <v>54862390524.675003</v>
      </c>
      <c r="E174" s="4">
        <v>152277230.84150001</v>
      </c>
      <c r="F174" s="4">
        <v>274311952.62339997</v>
      </c>
      <c r="G174" s="4">
        <v>761.38615419999996</v>
      </c>
      <c r="H174" s="11">
        <v>8.6983749563475072</v>
      </c>
      <c r="I174" s="11">
        <v>87.531999715003082</v>
      </c>
      <c r="J174" s="1">
        <v>91.5</v>
      </c>
    </row>
    <row r="175" spans="1:14" x14ac:dyDescent="0.3">
      <c r="A175" s="4" t="s">
        <v>45</v>
      </c>
      <c r="B175" s="4" t="s">
        <v>170</v>
      </c>
      <c r="C175" s="4">
        <v>3</v>
      </c>
      <c r="D175" s="4">
        <v>50013897945.123199</v>
      </c>
      <c r="E175" s="4">
        <v>151717896.8425</v>
      </c>
      <c r="F175" s="4">
        <v>250069489.7256</v>
      </c>
      <c r="G175" s="4">
        <v>758.5894841999999</v>
      </c>
      <c r="H175" s="11">
        <v>7.9296515006854387</v>
      </c>
      <c r="I175" s="11">
        <v>95.664920978485299</v>
      </c>
      <c r="J175" s="1">
        <v>95.5</v>
      </c>
    </row>
    <row r="176" spans="1:14" x14ac:dyDescent="0.3">
      <c r="A176" s="4" t="s">
        <v>46</v>
      </c>
      <c r="B176" s="4" t="s">
        <v>161</v>
      </c>
      <c r="C176" s="4">
        <v>0.95</v>
      </c>
      <c r="D176" s="4">
        <v>85247615484.161499</v>
      </c>
      <c r="E176" s="4">
        <v>149870709.8558</v>
      </c>
      <c r="F176" s="4">
        <v>426238077.42079997</v>
      </c>
      <c r="G176" s="4">
        <v>749.35354929999994</v>
      </c>
      <c r="H176" s="11">
        <v>13.515920770573551</v>
      </c>
      <c r="I176" s="11">
        <v>55.442286324396747</v>
      </c>
      <c r="J176" s="1">
        <v>87.5</v>
      </c>
    </row>
    <row r="177" spans="1:10" x14ac:dyDescent="0.3">
      <c r="A177" s="4" t="s">
        <v>11</v>
      </c>
      <c r="B177" s="4" t="s">
        <v>159</v>
      </c>
      <c r="C177" s="4">
        <v>1.5</v>
      </c>
      <c r="D177" s="4">
        <v>62781554435.073799</v>
      </c>
      <c r="E177" s="4">
        <v>145500329.85190001</v>
      </c>
      <c r="F177" s="4">
        <v>313907772.17540002</v>
      </c>
      <c r="G177" s="4">
        <v>727.50164930000005</v>
      </c>
      <c r="H177" s="11">
        <v>9.953950157767915</v>
      </c>
      <c r="I177" s="11">
        <v>73.086728160103206</v>
      </c>
      <c r="J177" s="1">
        <v>73.5</v>
      </c>
    </row>
    <row r="178" spans="1:10" x14ac:dyDescent="0.3">
      <c r="A178" s="4" t="s">
        <v>45</v>
      </c>
      <c r="B178" s="4" t="s">
        <v>175</v>
      </c>
      <c r="C178" s="4">
        <v>2.5</v>
      </c>
      <c r="D178" s="4">
        <v>47563177921.748596</v>
      </c>
      <c r="E178" s="4">
        <v>141622774.1004</v>
      </c>
      <c r="F178" s="4">
        <v>237815889.60870001</v>
      </c>
      <c r="G178" s="4">
        <v>708.11387049999996</v>
      </c>
      <c r="H178" s="11">
        <v>7.5410923899271616</v>
      </c>
      <c r="I178" s="11">
        <v>93.900702164297385</v>
      </c>
      <c r="J178" s="1">
        <v>82</v>
      </c>
    </row>
    <row r="179" spans="1:10" x14ac:dyDescent="0.3">
      <c r="A179" s="4" t="s">
        <v>17</v>
      </c>
      <c r="B179" s="4" t="s">
        <v>171</v>
      </c>
      <c r="C179" s="4">
        <v>1.25</v>
      </c>
      <c r="D179" s="4">
        <v>53845649819.4086</v>
      </c>
      <c r="E179" s="4">
        <v>135813888.79859999</v>
      </c>
      <c r="F179" s="4">
        <v>269228249.097</v>
      </c>
      <c r="G179" s="4">
        <v>679.06944399999998</v>
      </c>
      <c r="H179" s="11">
        <v>8.5371717750203899</v>
      </c>
      <c r="I179" s="11">
        <v>79.542670792562106</v>
      </c>
      <c r="J179" s="1">
        <v>87.5</v>
      </c>
    </row>
    <row r="180" spans="1:10" x14ac:dyDescent="0.3">
      <c r="A180" s="4" t="s">
        <v>20</v>
      </c>
      <c r="B180" s="4" t="s">
        <v>174</v>
      </c>
      <c r="C180" s="4">
        <v>0.95</v>
      </c>
      <c r="D180" s="4">
        <v>70614532687.2453</v>
      </c>
      <c r="E180" s="4">
        <v>132572310.14480001</v>
      </c>
      <c r="F180" s="4">
        <v>353072663.43620002</v>
      </c>
      <c r="G180" s="4">
        <v>662.86155070000007</v>
      </c>
      <c r="H180" s="11">
        <v>11.195860712716467</v>
      </c>
      <c r="I180" s="11">
        <v>59.20594831508663</v>
      </c>
      <c r="J180" s="1">
        <v>66.5</v>
      </c>
    </row>
    <row r="181" spans="1:10" x14ac:dyDescent="0.3">
      <c r="A181" s="4" t="s">
        <v>17</v>
      </c>
      <c r="B181" s="4" t="s">
        <v>178</v>
      </c>
      <c r="C181" s="4">
        <v>1</v>
      </c>
      <c r="D181" s="4">
        <v>74351964184.287003</v>
      </c>
      <c r="E181" s="4">
        <v>124433845.6356</v>
      </c>
      <c r="F181" s="4">
        <v>371759820.92140001</v>
      </c>
      <c r="G181" s="4">
        <v>622.16922820000002</v>
      </c>
      <c r="H181" s="11">
        <v>11.788426589340277</v>
      </c>
      <c r="I181" s="11">
        <v>52.777970281682762</v>
      </c>
      <c r="J181" s="1">
        <v>76</v>
      </c>
    </row>
    <row r="182" spans="1:10" x14ac:dyDescent="0.3">
      <c r="A182" s="4" t="s">
        <v>12</v>
      </c>
      <c r="B182" s="4" t="s">
        <v>176</v>
      </c>
      <c r="C182" s="4">
        <v>1.3</v>
      </c>
      <c r="D182" s="4">
        <v>58146614070.168198</v>
      </c>
      <c r="E182" s="4">
        <v>120761665.3207</v>
      </c>
      <c r="F182" s="4">
        <v>290733070.35079998</v>
      </c>
      <c r="G182" s="4">
        <v>603.80832659999999</v>
      </c>
      <c r="H182" s="11">
        <v>9.2190851836263636</v>
      </c>
      <c r="I182" s="11">
        <v>65.495471033546693</v>
      </c>
      <c r="J182" s="1">
        <v>67.5</v>
      </c>
    </row>
    <row r="183" spans="1:10" x14ac:dyDescent="0.3">
      <c r="A183" s="4" t="s">
        <v>12</v>
      </c>
      <c r="B183" s="4" t="s">
        <v>173</v>
      </c>
      <c r="C183" s="4">
        <v>1.3</v>
      </c>
      <c r="D183" s="4">
        <v>55969115651.598999</v>
      </c>
      <c r="E183" s="4">
        <v>113820268.2314</v>
      </c>
      <c r="F183" s="4">
        <v>279845578.25800002</v>
      </c>
      <c r="G183" s="4">
        <v>569.10134119999998</v>
      </c>
      <c r="H183" s="11">
        <v>8.8738450741373356</v>
      </c>
      <c r="I183" s="11">
        <v>64.132440497370837</v>
      </c>
      <c r="J183" s="1">
        <v>64.5</v>
      </c>
    </row>
    <row r="184" spans="1:10" x14ac:dyDescent="0.3">
      <c r="A184" s="4" t="s">
        <v>12</v>
      </c>
      <c r="B184" s="4" t="s">
        <v>179</v>
      </c>
      <c r="C184" s="4">
        <v>2</v>
      </c>
      <c r="D184" s="4">
        <v>56258280655.190598</v>
      </c>
      <c r="E184" s="4">
        <v>111635635.03219999</v>
      </c>
      <c r="F184" s="4">
        <v>281291403.27600002</v>
      </c>
      <c r="G184" s="4">
        <v>558.17817520000006</v>
      </c>
      <c r="H184" s="11">
        <v>8.9196918847017059</v>
      </c>
      <c r="I184" s="11">
        <v>62.578190190329288</v>
      </c>
      <c r="J184" s="1">
        <v>83.5</v>
      </c>
    </row>
    <row r="185" spans="1:10" x14ac:dyDescent="0.3">
      <c r="A185" s="4" t="s">
        <v>12</v>
      </c>
      <c r="B185" s="4" t="s">
        <v>177</v>
      </c>
      <c r="C185" s="4">
        <v>1.5</v>
      </c>
      <c r="D185" s="4">
        <v>59799789053.934601</v>
      </c>
      <c r="E185" s="4">
        <v>98497887.179900005</v>
      </c>
      <c r="F185" s="4">
        <v>298998945.26969999</v>
      </c>
      <c r="G185" s="4">
        <v>492.48943589999999</v>
      </c>
      <c r="H185" s="11">
        <v>9.4811943578663431</v>
      </c>
      <c r="I185" s="11">
        <v>51.943818184825219</v>
      </c>
      <c r="J185" s="1">
        <v>65</v>
      </c>
    </row>
    <row r="186" spans="1:10" x14ac:dyDescent="0.3">
      <c r="A186" s="4" t="s">
        <v>44</v>
      </c>
      <c r="B186" s="4" t="s">
        <v>183</v>
      </c>
      <c r="C186" s="4">
        <v>1</v>
      </c>
      <c r="D186" s="4">
        <v>62300655664.593399</v>
      </c>
      <c r="E186" s="4">
        <v>94040563.191400006</v>
      </c>
      <c r="F186" s="4">
        <v>311503278.32300001</v>
      </c>
      <c r="G186" s="4">
        <v>470.20281599999998</v>
      </c>
      <c r="H186" s="11">
        <v>9.8777041578820075</v>
      </c>
      <c r="I186" s="11">
        <v>47.602439644317265</v>
      </c>
      <c r="J186" s="1">
        <v>57</v>
      </c>
    </row>
    <row r="187" spans="1:10" x14ac:dyDescent="0.3">
      <c r="A187" s="4" t="s">
        <v>44</v>
      </c>
      <c r="B187" s="4" t="s">
        <v>184</v>
      </c>
      <c r="C187" s="4">
        <v>1</v>
      </c>
      <c r="D187" s="4">
        <v>63582229841.884399</v>
      </c>
      <c r="E187" s="4">
        <v>93571363.575800002</v>
      </c>
      <c r="F187" s="4">
        <v>317911149.2094</v>
      </c>
      <c r="G187" s="4">
        <v>467.85681790000001</v>
      </c>
      <c r="H187" s="11">
        <v>10.080896410750317</v>
      </c>
      <c r="I187" s="11">
        <v>46.410239609354107</v>
      </c>
      <c r="J187" s="1">
        <v>54.5</v>
      </c>
    </row>
    <row r="188" spans="1:10" x14ac:dyDescent="0.3">
      <c r="A188" s="4" t="s">
        <v>12</v>
      </c>
      <c r="B188" s="4" t="s">
        <v>180</v>
      </c>
      <c r="C188" s="4">
        <v>1.5</v>
      </c>
      <c r="D188" s="4">
        <v>61698459457.042999</v>
      </c>
      <c r="E188" s="4">
        <v>91714250.839599997</v>
      </c>
      <c r="F188" s="4">
        <v>308492297.2852</v>
      </c>
      <c r="G188" s="4">
        <v>458.5712542</v>
      </c>
      <c r="H188" s="11">
        <v>9.782226575507833</v>
      </c>
      <c r="I188" s="11">
        <v>46.878003761244287</v>
      </c>
      <c r="J188" s="1">
        <v>71</v>
      </c>
    </row>
    <row r="189" spans="1:10" x14ac:dyDescent="0.3">
      <c r="A189" s="4" t="s">
        <v>44</v>
      </c>
      <c r="B189" s="4" t="s">
        <v>181</v>
      </c>
      <c r="C189" s="4">
        <v>0.95</v>
      </c>
      <c r="D189" s="4">
        <v>69981107953.996597</v>
      </c>
      <c r="E189" s="4">
        <v>88709296.985100001</v>
      </c>
      <c r="F189" s="4">
        <v>349905539.76999998</v>
      </c>
      <c r="G189" s="4">
        <v>443.5464849</v>
      </c>
      <c r="H189" s="11">
        <v>11.095431880073027</v>
      </c>
      <c r="I189" s="11">
        <v>39.975594433290389</v>
      </c>
      <c r="J189" s="1">
        <v>58</v>
      </c>
    </row>
    <row r="190" spans="1:10" x14ac:dyDescent="0.3">
      <c r="A190" s="4" t="s">
        <v>44</v>
      </c>
      <c r="B190" s="4" t="s">
        <v>182</v>
      </c>
      <c r="C190" s="4">
        <v>1.3</v>
      </c>
      <c r="D190" s="4">
        <v>53528862360.4366</v>
      </c>
      <c r="E190" s="4">
        <v>87350719.294200003</v>
      </c>
      <c r="F190" s="4">
        <v>267644311.80219999</v>
      </c>
      <c r="G190" s="4">
        <v>436.75359650000001</v>
      </c>
      <c r="H190" s="11">
        <v>8.4869454528850525</v>
      </c>
      <c r="I190" s="11">
        <v>51.461812606740622</v>
      </c>
      <c r="J190" s="1">
        <v>55</v>
      </c>
    </row>
    <row r="191" spans="1:10" x14ac:dyDescent="0.3">
      <c r="A191" s="5"/>
      <c r="B191" s="5"/>
      <c r="C191"/>
      <c r="D191"/>
      <c r="E191"/>
      <c r="F191"/>
    </row>
    <row r="192" spans="1:10" x14ac:dyDescent="0.3">
      <c r="A192" s="5"/>
      <c r="B192" s="5"/>
    </row>
    <row r="193" spans="1:2" x14ac:dyDescent="0.3">
      <c r="A193" s="5"/>
      <c r="B193" s="5"/>
    </row>
    <row r="194" spans="1:2" x14ac:dyDescent="0.3">
      <c r="A194" s="5"/>
      <c r="B194" s="5"/>
    </row>
    <row r="195" spans="1:2" x14ac:dyDescent="0.3">
      <c r="A195" s="5"/>
      <c r="B195" s="5"/>
    </row>
    <row r="196" spans="1:2" x14ac:dyDescent="0.3">
      <c r="A196" s="5"/>
      <c r="B196" s="5"/>
    </row>
    <row r="197" spans="1:2" x14ac:dyDescent="0.3">
      <c r="A197" s="5"/>
      <c r="B197" s="5"/>
    </row>
    <row r="198" spans="1:2" x14ac:dyDescent="0.3">
      <c r="A198" s="5"/>
      <c r="B198" s="5"/>
    </row>
    <row r="199" spans="1:2" x14ac:dyDescent="0.3">
      <c r="A199" s="5"/>
      <c r="B199" s="5"/>
    </row>
    <row r="200" spans="1:2" x14ac:dyDescent="0.3">
      <c r="A200" s="5"/>
      <c r="B200" s="5"/>
    </row>
    <row r="201" spans="1:2" x14ac:dyDescent="0.3">
      <c r="A201" s="5"/>
      <c r="B201" s="5"/>
    </row>
    <row r="202" spans="1:2" x14ac:dyDescent="0.3">
      <c r="A202" s="5"/>
      <c r="B202" s="5"/>
    </row>
    <row r="203" spans="1:2" x14ac:dyDescent="0.3">
      <c r="A203" s="5"/>
      <c r="B203" s="5"/>
    </row>
    <row r="204" spans="1:2" x14ac:dyDescent="0.3">
      <c r="A204" s="5"/>
      <c r="B204" s="5"/>
    </row>
    <row r="205" spans="1:2" x14ac:dyDescent="0.3">
      <c r="A205" s="5"/>
      <c r="B205" s="5"/>
    </row>
    <row r="206" spans="1:2" x14ac:dyDescent="0.3">
      <c r="A206" s="5"/>
      <c r="B206" s="5"/>
    </row>
    <row r="207" spans="1:2" x14ac:dyDescent="0.3">
      <c r="A207" s="5"/>
      <c r="B207" s="5"/>
    </row>
    <row r="208" spans="1:2" x14ac:dyDescent="0.3">
      <c r="A208" s="5"/>
      <c r="B208" s="5"/>
    </row>
    <row r="209" spans="1:2" x14ac:dyDescent="0.3">
      <c r="A209" s="5"/>
      <c r="B209" s="5"/>
    </row>
    <row r="210" spans="1:2" x14ac:dyDescent="0.3">
      <c r="A210" s="5"/>
      <c r="B210" s="5"/>
    </row>
    <row r="211" spans="1:2" x14ac:dyDescent="0.3">
      <c r="A211" s="5"/>
      <c r="B211" s="5"/>
    </row>
    <row r="212" spans="1:2" x14ac:dyDescent="0.3">
      <c r="A212" s="5"/>
      <c r="B212" s="5"/>
    </row>
    <row r="213" spans="1:2" x14ac:dyDescent="0.3">
      <c r="A213" s="5"/>
      <c r="B213" s="5"/>
    </row>
    <row r="214" spans="1:2" x14ac:dyDescent="0.3">
      <c r="A214" s="5"/>
      <c r="B214" s="5"/>
    </row>
    <row r="215" spans="1:2" x14ac:dyDescent="0.3">
      <c r="A215" s="5"/>
      <c r="B215" s="5"/>
    </row>
    <row r="216" spans="1:2" x14ac:dyDescent="0.3">
      <c r="A216" s="5"/>
      <c r="B216" s="5"/>
    </row>
    <row r="217" spans="1:2" x14ac:dyDescent="0.3">
      <c r="A217" s="5"/>
      <c r="B217" s="5"/>
    </row>
    <row r="218" spans="1:2" x14ac:dyDescent="0.3">
      <c r="A218" s="5"/>
      <c r="B218" s="5"/>
    </row>
    <row r="219" spans="1:2" x14ac:dyDescent="0.3">
      <c r="A219" s="5"/>
      <c r="B219" s="5"/>
    </row>
    <row r="220" spans="1:2" x14ac:dyDescent="0.3">
      <c r="A220" s="5"/>
      <c r="B220" s="5"/>
    </row>
    <row r="221" spans="1:2" x14ac:dyDescent="0.3">
      <c r="A221" s="5"/>
      <c r="B221" s="5"/>
    </row>
    <row r="222" spans="1:2" x14ac:dyDescent="0.3">
      <c r="A222" s="5"/>
      <c r="B222" s="5"/>
    </row>
    <row r="223" spans="1:2" x14ac:dyDescent="0.3">
      <c r="A223" s="5"/>
      <c r="B223" s="5"/>
    </row>
    <row r="224" spans="1:2" x14ac:dyDescent="0.3">
      <c r="A224" s="5"/>
      <c r="B224" s="5"/>
    </row>
    <row r="225" spans="1:6" x14ac:dyDescent="0.3">
      <c r="A225" s="5"/>
      <c r="B225" s="5"/>
    </row>
    <row r="226" spans="1:6" x14ac:dyDescent="0.3">
      <c r="A226" s="5"/>
      <c r="B226" s="5"/>
      <c r="C226"/>
      <c r="D226"/>
      <c r="E226"/>
      <c r="F226"/>
    </row>
    <row r="227" spans="1:6" x14ac:dyDescent="0.3">
      <c r="A227" s="5"/>
      <c r="B227" s="5"/>
      <c r="C227"/>
      <c r="D227"/>
      <c r="E227"/>
      <c r="F227"/>
    </row>
    <row r="228" spans="1:6" x14ac:dyDescent="0.3">
      <c r="A228" s="5"/>
      <c r="B228" s="5"/>
      <c r="C228"/>
      <c r="D228"/>
      <c r="E228"/>
      <c r="F228"/>
    </row>
    <row r="229" spans="1:6" x14ac:dyDescent="0.3">
      <c r="A229" s="5"/>
      <c r="B229" s="5"/>
      <c r="C229"/>
      <c r="D229"/>
      <c r="E229"/>
      <c r="F229"/>
    </row>
  </sheetData>
  <mergeCells count="6">
    <mergeCell ref="A156:J156"/>
    <mergeCell ref="A96:J96"/>
    <mergeCell ref="A97:J97"/>
    <mergeCell ref="A61:J61"/>
    <mergeCell ref="A1:J1"/>
    <mergeCell ref="A2:J2"/>
  </mergeCells>
  <phoneticPr fontId="1" type="noConversion"/>
  <conditionalFormatting sqref="J4:J60">
    <cfRule type="cellIs" dxfId="8" priority="4" operator="lessThan">
      <formula>60</formula>
    </cfRule>
  </conditionalFormatting>
  <conditionalFormatting sqref="J62:J95">
    <cfRule type="cellIs" dxfId="7" priority="2" operator="lessThan">
      <formula>60</formula>
    </cfRule>
  </conditionalFormatting>
  <conditionalFormatting sqref="J99:J155">
    <cfRule type="cellIs" dxfId="6" priority="3" operator="lessThan">
      <formula>60</formula>
    </cfRule>
  </conditionalFormatting>
  <conditionalFormatting sqref="J157:J190">
    <cfRule type="cellIs" dxfId="5" priority="1" operator="lessThan">
      <formula>60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33B3-7A21-4340-809E-FF8A08B13914}">
  <dimension ref="A1:N231"/>
  <sheetViews>
    <sheetView topLeftCell="E236" zoomScale="70" zoomScaleNormal="70" workbookViewId="0">
      <selection activeCell="E13" sqref="E13"/>
    </sheetView>
  </sheetViews>
  <sheetFormatPr defaultRowHeight="13.5" x14ac:dyDescent="0.3"/>
  <cols>
    <col min="1" max="1" width="68.1328125" customWidth="1"/>
    <col min="2" max="2" width="40.59765625" customWidth="1"/>
    <col min="3" max="7" width="35.59765625" style="1" customWidth="1"/>
    <col min="8" max="8" width="35.59765625" style="9" customWidth="1"/>
    <col min="9" max="9" width="35.59765625" style="11" customWidth="1"/>
    <col min="10" max="10" width="35.59765625" customWidth="1"/>
    <col min="11" max="14" width="13.59765625" customWidth="1"/>
  </cols>
  <sheetData>
    <row r="1" spans="1:14" ht="122.25" customHeight="1" x14ac:dyDescent="0.3">
      <c r="A1" s="25" t="s">
        <v>49</v>
      </c>
      <c r="B1" s="26"/>
      <c r="C1" s="26"/>
      <c r="D1" s="26"/>
      <c r="E1" s="26"/>
      <c r="F1" s="26"/>
      <c r="G1" s="26"/>
      <c r="H1" s="26"/>
      <c r="I1" s="26"/>
      <c r="J1" s="26"/>
    </row>
    <row r="2" spans="1:14" s="3" customFormat="1" ht="45" customHeight="1" x14ac:dyDescent="0.3">
      <c r="A2" s="23" t="s">
        <v>6</v>
      </c>
      <c r="B2" s="24"/>
      <c r="C2" s="24"/>
      <c r="D2" s="24"/>
      <c r="E2" s="24"/>
      <c r="F2" s="24"/>
      <c r="G2" s="24"/>
      <c r="H2" s="24"/>
      <c r="I2" s="24"/>
      <c r="J2" s="24"/>
    </row>
    <row r="3" spans="1:14" s="3" customFormat="1" ht="45" customHeight="1" x14ac:dyDescent="0.3">
      <c r="A3" s="6" t="s">
        <v>4</v>
      </c>
      <c r="B3" s="2" t="s">
        <v>1</v>
      </c>
      <c r="C3" s="2" t="s">
        <v>7</v>
      </c>
      <c r="D3" s="2" t="s">
        <v>2</v>
      </c>
      <c r="E3" s="2" t="s">
        <v>3</v>
      </c>
      <c r="F3" s="2" t="s">
        <v>5</v>
      </c>
      <c r="G3" s="2" t="s">
        <v>0</v>
      </c>
      <c r="H3" s="8" t="s">
        <v>53</v>
      </c>
      <c r="I3" s="8" t="s">
        <v>55</v>
      </c>
      <c r="J3" s="8" t="s">
        <v>58</v>
      </c>
    </row>
    <row r="4" spans="1:14" x14ac:dyDescent="0.3">
      <c r="A4" s="4" t="s">
        <v>39</v>
      </c>
      <c r="B4" s="4" t="s">
        <v>93</v>
      </c>
      <c r="C4" s="4">
        <v>3</v>
      </c>
      <c r="D4" s="4">
        <v>71200317016.235596</v>
      </c>
      <c r="E4" s="4">
        <v>1274437317.0062001</v>
      </c>
      <c r="F4" s="4">
        <v>356001585.0812</v>
      </c>
      <c r="G4" s="4">
        <v>6372.1865850000004</v>
      </c>
      <c r="H4" s="9">
        <v>11.288736208814624</v>
      </c>
      <c r="I4" s="11">
        <v>564.47298148612799</v>
      </c>
      <c r="J4" s="1">
        <v>90</v>
      </c>
      <c r="K4" t="str">
        <f>ROUND(AVERAGE(G4:G60),2)&amp;"±"&amp;ROUND(_xlfn.STDEV.P(G4:G60),2)</f>
        <v>2438.14±1389.7</v>
      </c>
      <c r="L4" t="str">
        <f>ROUND(AVERAGE(H4:H60),2)&amp;"±"&amp;ROUND(_xlfn.STDEV.P(H4:H60),2)</f>
        <v>9.62±4.41</v>
      </c>
      <c r="M4" t="str">
        <f>ROUND(AVERAGE(I4:I60),2)&amp;"±"&amp;ROUND(_xlfn.STDEV.P(I4:I60),2)</f>
        <v>327.35±257.84</v>
      </c>
      <c r="N4" t="str">
        <f>ROUND(AVERAGE(J4:J60),2)&amp;"±"&amp;ROUND(_xlfn.STDEV.P(J4:J60),2)</f>
        <v>57.19±21.1</v>
      </c>
    </row>
    <row r="5" spans="1:14" x14ac:dyDescent="0.3">
      <c r="A5" s="4" t="s">
        <v>25</v>
      </c>
      <c r="B5" s="4" t="s">
        <v>109</v>
      </c>
      <c r="C5" s="4">
        <v>21</v>
      </c>
      <c r="D5" s="4">
        <v>32039430174.583801</v>
      </c>
      <c r="E5" s="4">
        <v>921214530.40799999</v>
      </c>
      <c r="F5" s="4">
        <v>160197150.87290001</v>
      </c>
      <c r="G5" s="4">
        <v>4606.0726519999998</v>
      </c>
      <c r="H5" s="9">
        <v>5.0798183305720128</v>
      </c>
      <c r="I5" s="11">
        <v>906.73964151023745</v>
      </c>
      <c r="J5" s="1">
        <v>60</v>
      </c>
    </row>
    <row r="6" spans="1:14" x14ac:dyDescent="0.3">
      <c r="A6" s="4" t="s">
        <v>9</v>
      </c>
      <c r="B6" s="4" t="s">
        <v>138</v>
      </c>
      <c r="C6" s="4">
        <v>1</v>
      </c>
      <c r="D6" s="4">
        <v>59860009200.105202</v>
      </c>
      <c r="E6" s="4">
        <v>913082274.83539999</v>
      </c>
      <c r="F6" s="4">
        <v>299300046.00050002</v>
      </c>
      <c r="G6" s="4">
        <v>4565.4113742000009</v>
      </c>
      <c r="H6" s="9">
        <v>9.4907421994078511</v>
      </c>
      <c r="I6" s="11">
        <v>481.03839281240272</v>
      </c>
      <c r="J6" s="1">
        <v>62</v>
      </c>
    </row>
    <row r="7" spans="1:14" x14ac:dyDescent="0.3">
      <c r="A7" s="4" t="s">
        <v>26</v>
      </c>
      <c r="B7" s="4" t="s">
        <v>186</v>
      </c>
      <c r="C7" s="4">
        <v>4.3</v>
      </c>
      <c r="D7" s="4">
        <v>40471442292.653801</v>
      </c>
      <c r="E7" s="4">
        <v>907878858.26339996</v>
      </c>
      <c r="F7" s="4">
        <v>202357211.46329999</v>
      </c>
      <c r="G7" s="4">
        <v>4539.3942913000001</v>
      </c>
      <c r="H7" s="9">
        <v>6.4167050819149232</v>
      </c>
      <c r="I7" s="11">
        <v>707.43383611224328</v>
      </c>
      <c r="J7" s="1">
        <v>75.5</v>
      </c>
    </row>
    <row r="8" spans="1:14" x14ac:dyDescent="0.3">
      <c r="A8" s="4" t="s">
        <v>26</v>
      </c>
      <c r="B8" s="4" t="s">
        <v>134</v>
      </c>
      <c r="C8" s="4">
        <v>5.5</v>
      </c>
      <c r="D8" s="4">
        <v>56591530836.5849</v>
      </c>
      <c r="E8" s="4">
        <v>895566818.09609997</v>
      </c>
      <c r="F8" s="4">
        <v>282957654.18290001</v>
      </c>
      <c r="G8" s="4">
        <v>4477.8340904999995</v>
      </c>
      <c r="H8" s="9">
        <v>8.972528354354532</v>
      </c>
      <c r="I8" s="11">
        <v>499.06045583314597</v>
      </c>
      <c r="J8" s="1">
        <v>74</v>
      </c>
    </row>
    <row r="9" spans="1:14" x14ac:dyDescent="0.3">
      <c r="A9" s="4" t="s">
        <v>10</v>
      </c>
      <c r="B9" s="4" t="s">
        <v>103</v>
      </c>
      <c r="C9" s="4">
        <v>2</v>
      </c>
      <c r="D9" s="4">
        <v>96526831411.620804</v>
      </c>
      <c r="E9" s="4">
        <v>858182356.91939998</v>
      </c>
      <c r="F9" s="4">
        <v>482634157.05809999</v>
      </c>
      <c r="G9" s="4">
        <v>4290.9117845999999</v>
      </c>
      <c r="H9" s="9">
        <v>15.304228724572045</v>
      </c>
      <c r="I9" s="11">
        <v>280.37425876356843</v>
      </c>
      <c r="J9" s="1">
        <v>75.5</v>
      </c>
    </row>
    <row r="10" spans="1:14" x14ac:dyDescent="0.3">
      <c r="A10" s="4" t="s">
        <v>26</v>
      </c>
      <c r="B10" s="4" t="s">
        <v>145</v>
      </c>
      <c r="C10" s="4">
        <v>7.6</v>
      </c>
      <c r="D10" s="4">
        <v>26046908893.010601</v>
      </c>
      <c r="E10" s="4">
        <v>847012255.74699998</v>
      </c>
      <c r="F10" s="4">
        <v>130234544.46510001</v>
      </c>
      <c r="G10" s="4">
        <v>4235.0612787</v>
      </c>
      <c r="H10" s="9">
        <v>4.1297103140871707</v>
      </c>
      <c r="I10" s="11">
        <v>1025.5104974926348</v>
      </c>
      <c r="J10" s="1">
        <v>87</v>
      </c>
    </row>
    <row r="11" spans="1:14" x14ac:dyDescent="0.3">
      <c r="A11" s="4" t="s">
        <v>10</v>
      </c>
      <c r="B11" s="4" t="s">
        <v>96</v>
      </c>
      <c r="C11" s="4">
        <v>1.5</v>
      </c>
      <c r="D11" s="4">
        <v>86347458631.1539</v>
      </c>
      <c r="E11" s="4">
        <v>837758538.52649999</v>
      </c>
      <c r="F11" s="4">
        <v>431737293.15579998</v>
      </c>
      <c r="G11" s="4">
        <v>4188.7926926</v>
      </c>
      <c r="H11" s="9">
        <v>13.690299757603041</v>
      </c>
      <c r="I11" s="11">
        <v>305.96793107278114</v>
      </c>
      <c r="J11" s="1">
        <v>66.5</v>
      </c>
    </row>
    <row r="12" spans="1:14" x14ac:dyDescent="0.3">
      <c r="A12" s="4" t="s">
        <v>9</v>
      </c>
      <c r="B12" s="4" t="s">
        <v>139</v>
      </c>
      <c r="C12" s="4">
        <v>2</v>
      </c>
      <c r="D12" s="4">
        <v>47630976994.726997</v>
      </c>
      <c r="E12" s="4">
        <v>833784624.04920006</v>
      </c>
      <c r="F12" s="4">
        <v>238154884.9736</v>
      </c>
      <c r="G12" s="4">
        <v>4168.9231202000001</v>
      </c>
      <c r="H12" s="9">
        <v>7.5518418624313481</v>
      </c>
      <c r="I12" s="11">
        <v>552.04057449076367</v>
      </c>
      <c r="J12" s="1">
        <v>67.5</v>
      </c>
    </row>
    <row r="13" spans="1:14" x14ac:dyDescent="0.3">
      <c r="A13" s="4" t="s">
        <v>10</v>
      </c>
      <c r="B13" s="4" t="s">
        <v>100</v>
      </c>
      <c r="C13" s="4">
        <v>2</v>
      </c>
      <c r="D13" s="4">
        <v>48826761227.150002</v>
      </c>
      <c r="E13" s="4">
        <v>832762458.98109996</v>
      </c>
      <c r="F13" s="4">
        <v>244133806.1358</v>
      </c>
      <c r="G13" s="4">
        <v>4163.8122948999999</v>
      </c>
      <c r="H13" s="9">
        <v>7.7414322087693428</v>
      </c>
      <c r="I13" s="11">
        <v>537.860719129377</v>
      </c>
      <c r="J13" s="1">
        <v>75.5</v>
      </c>
    </row>
    <row r="14" spans="1:14" x14ac:dyDescent="0.3">
      <c r="A14" s="4" t="s">
        <v>27</v>
      </c>
      <c r="B14" s="4" t="s">
        <v>110</v>
      </c>
      <c r="C14" s="4">
        <v>7.6</v>
      </c>
      <c r="D14" s="4">
        <v>26796735596.2183</v>
      </c>
      <c r="E14" s="4">
        <v>830309348.83270001</v>
      </c>
      <c r="F14" s="4">
        <v>133983677.98109999</v>
      </c>
      <c r="G14" s="4">
        <v>4151.5467441999999</v>
      </c>
      <c r="H14" s="9">
        <v>4.2485945580001108</v>
      </c>
      <c r="I14" s="11">
        <v>977.15766650000296</v>
      </c>
      <c r="J14" s="1">
        <v>87.5</v>
      </c>
    </row>
    <row r="15" spans="1:14" x14ac:dyDescent="0.3">
      <c r="A15" s="4" t="s">
        <v>27</v>
      </c>
      <c r="B15" s="4" t="s">
        <v>98</v>
      </c>
      <c r="C15" s="4">
        <v>8.6</v>
      </c>
      <c r="D15" s="4">
        <v>41064621063.401299</v>
      </c>
      <c r="E15" s="4">
        <v>782859362.24049997</v>
      </c>
      <c r="F15" s="4">
        <v>205323105.317</v>
      </c>
      <c r="G15" s="4">
        <v>3914.2968111999999</v>
      </c>
      <c r="H15" s="9">
        <v>6.5107529590628648</v>
      </c>
      <c r="I15" s="11">
        <v>601.20493525274378</v>
      </c>
      <c r="J15" s="1">
        <v>85</v>
      </c>
    </row>
    <row r="16" spans="1:14" x14ac:dyDescent="0.3">
      <c r="A16" s="4" t="s">
        <v>9</v>
      </c>
      <c r="B16" s="4" t="s">
        <v>135</v>
      </c>
      <c r="C16" s="4">
        <v>8</v>
      </c>
      <c r="D16" s="4">
        <v>34157977499.240299</v>
      </c>
      <c r="E16" s="4">
        <v>768642135.36960006</v>
      </c>
      <c r="F16" s="4">
        <v>170789887.4962</v>
      </c>
      <c r="G16" s="4">
        <v>3843.2106767999999</v>
      </c>
      <c r="H16" s="9">
        <v>5.4157118054351061</v>
      </c>
      <c r="I16" s="11">
        <v>709.64091422719844</v>
      </c>
      <c r="J16" s="1">
        <v>70</v>
      </c>
    </row>
    <row r="17" spans="1:10" x14ac:dyDescent="0.3">
      <c r="A17" s="4" t="s">
        <v>36</v>
      </c>
      <c r="B17" s="4" t="s">
        <v>141</v>
      </c>
      <c r="C17" s="4">
        <v>1.5</v>
      </c>
      <c r="D17" s="4">
        <v>29634166925.803799</v>
      </c>
      <c r="E17" s="4">
        <v>749402149.84150004</v>
      </c>
      <c r="F17" s="4">
        <v>148170834.62900001</v>
      </c>
      <c r="G17" s="4">
        <v>3747.0107492000002</v>
      </c>
      <c r="H17" s="9">
        <v>4.6984663441469747</v>
      </c>
      <c r="I17" s="11">
        <v>797.49656052506748</v>
      </c>
      <c r="J17" s="1">
        <v>83</v>
      </c>
    </row>
    <row r="18" spans="1:10" x14ac:dyDescent="0.3">
      <c r="A18" s="4" t="s">
        <v>9</v>
      </c>
      <c r="B18" s="4" t="s">
        <v>136</v>
      </c>
      <c r="C18" s="4">
        <v>3</v>
      </c>
      <c r="D18" s="4">
        <v>76510558895.280396</v>
      </c>
      <c r="E18" s="4">
        <v>731737934.36629999</v>
      </c>
      <c r="F18" s="4">
        <v>382552794.47640002</v>
      </c>
      <c r="G18" s="4">
        <v>3658.6896717999998</v>
      </c>
      <c r="H18" s="9">
        <v>12.130669535654553</v>
      </c>
      <c r="I18" s="11">
        <v>301.6065734085289</v>
      </c>
      <c r="J18" s="1">
        <v>52</v>
      </c>
    </row>
    <row r="19" spans="1:10" x14ac:dyDescent="0.3">
      <c r="A19" s="4" t="s">
        <v>10</v>
      </c>
      <c r="B19" s="4" t="s">
        <v>115</v>
      </c>
      <c r="C19" s="4">
        <v>1.5</v>
      </c>
      <c r="D19" s="4">
        <v>95353391960.032806</v>
      </c>
      <c r="E19" s="4">
        <v>729194014.00539994</v>
      </c>
      <c r="F19" s="4">
        <v>476766959.80019999</v>
      </c>
      <c r="G19" s="4">
        <v>3645.9700699999999</v>
      </c>
      <c r="H19" s="9">
        <v>15.118181119995054</v>
      </c>
      <c r="I19" s="11">
        <v>241.16459784820944</v>
      </c>
      <c r="J19" s="1">
        <v>64</v>
      </c>
    </row>
    <row r="20" spans="1:10" x14ac:dyDescent="0.3">
      <c r="A20" s="4" t="s">
        <v>9</v>
      </c>
      <c r="B20" s="4" t="s">
        <v>131</v>
      </c>
      <c r="C20" s="4">
        <v>1.5</v>
      </c>
      <c r="D20" s="4">
        <v>80383759694.179794</v>
      </c>
      <c r="E20" s="4">
        <v>687520012.27219999</v>
      </c>
      <c r="F20" s="4">
        <v>401918798.4709</v>
      </c>
      <c r="G20" s="4">
        <v>3437.6000614</v>
      </c>
      <c r="H20" s="9">
        <v>12.744761493876807</v>
      </c>
      <c r="I20" s="11">
        <v>269.72651179479408</v>
      </c>
      <c r="J20" s="1">
        <v>53</v>
      </c>
    </row>
    <row r="21" spans="1:10" x14ac:dyDescent="0.3">
      <c r="A21" s="4" t="s">
        <v>27</v>
      </c>
      <c r="B21" s="4" t="s">
        <v>104</v>
      </c>
      <c r="C21" s="4">
        <v>4.3</v>
      </c>
      <c r="D21" s="4">
        <v>41563361230.718597</v>
      </c>
      <c r="E21" s="4">
        <v>665598522.95190001</v>
      </c>
      <c r="F21" s="4">
        <v>207816806.15360001</v>
      </c>
      <c r="G21" s="4">
        <v>3327.9926148</v>
      </c>
      <c r="H21" s="9">
        <v>6.5898276938607623</v>
      </c>
      <c r="I21" s="11">
        <v>505.01967113653603</v>
      </c>
      <c r="J21" s="1">
        <v>78</v>
      </c>
    </row>
    <row r="22" spans="1:10" x14ac:dyDescent="0.3">
      <c r="A22" s="4" t="s">
        <v>24</v>
      </c>
      <c r="B22" s="4" t="s">
        <v>150</v>
      </c>
      <c r="C22" s="4">
        <v>1.5</v>
      </c>
      <c r="D22" s="4">
        <v>24867713512.402302</v>
      </c>
      <c r="E22" s="4">
        <v>644558216.87100005</v>
      </c>
      <c r="F22" s="4">
        <v>124338567.56200001</v>
      </c>
      <c r="G22" s="4">
        <v>3222.7910843999998</v>
      </c>
      <c r="H22" s="9">
        <v>3.9427501129506441</v>
      </c>
      <c r="I22" s="11">
        <v>817.39673884332296</v>
      </c>
      <c r="J22" s="1">
        <v>78</v>
      </c>
    </row>
    <row r="23" spans="1:10" x14ac:dyDescent="0.3">
      <c r="A23" s="4" t="s">
        <v>10</v>
      </c>
      <c r="B23" s="4" t="s">
        <v>99</v>
      </c>
      <c r="C23" s="4">
        <v>8</v>
      </c>
      <c r="D23" s="4">
        <v>34545931171.477203</v>
      </c>
      <c r="E23" s="4">
        <v>641480581.85000002</v>
      </c>
      <c r="F23" s="4">
        <v>172729655.8574</v>
      </c>
      <c r="G23" s="4">
        <v>3207.4029092999999</v>
      </c>
      <c r="H23" s="9">
        <v>5.4772214566649549</v>
      </c>
      <c r="I23" s="11">
        <v>585.58941512161664</v>
      </c>
      <c r="J23" s="1">
        <v>74.5</v>
      </c>
    </row>
    <row r="24" spans="1:10" x14ac:dyDescent="0.3">
      <c r="A24" s="4" t="s">
        <v>22</v>
      </c>
      <c r="B24" s="4" t="s">
        <v>133</v>
      </c>
      <c r="C24" s="4">
        <v>3</v>
      </c>
      <c r="D24" s="4">
        <v>50296436908.608299</v>
      </c>
      <c r="E24" s="4">
        <v>611981314.06509995</v>
      </c>
      <c r="F24" s="4">
        <v>251482184.54300001</v>
      </c>
      <c r="G24" s="4">
        <v>3059.9065703000001</v>
      </c>
      <c r="H24" s="9">
        <v>7.974447759482544</v>
      </c>
      <c r="I24" s="11">
        <v>383.71391506846555</v>
      </c>
      <c r="J24" s="1">
        <v>50</v>
      </c>
    </row>
    <row r="25" spans="1:10" x14ac:dyDescent="0.3">
      <c r="A25" s="4" t="s">
        <v>35</v>
      </c>
      <c r="B25" s="4" t="s">
        <v>106</v>
      </c>
      <c r="C25" s="4">
        <v>1.5</v>
      </c>
      <c r="D25" s="4">
        <v>28374169032.232201</v>
      </c>
      <c r="E25" s="4">
        <v>514702465.65240002</v>
      </c>
      <c r="F25" s="4">
        <v>141870845.16119999</v>
      </c>
      <c r="G25" s="4">
        <v>2573.5123282999998</v>
      </c>
      <c r="H25" s="9">
        <v>4.4986949886212901</v>
      </c>
      <c r="I25" s="11">
        <v>572.05752664034264</v>
      </c>
      <c r="J25" s="1">
        <v>78</v>
      </c>
    </row>
    <row r="26" spans="1:10" x14ac:dyDescent="0.3">
      <c r="A26" s="4" t="s">
        <v>37</v>
      </c>
      <c r="B26" s="4" t="s">
        <v>148</v>
      </c>
      <c r="C26" s="4">
        <v>10</v>
      </c>
      <c r="D26" s="4">
        <v>31424188502.498699</v>
      </c>
      <c r="E26" s="4">
        <v>512200087.73280001</v>
      </c>
      <c r="F26" s="4">
        <v>157120942.51249999</v>
      </c>
      <c r="G26" s="4">
        <v>2561.0004386999999</v>
      </c>
      <c r="H26" s="9">
        <v>4.9822724033642025</v>
      </c>
      <c r="I26" s="11">
        <v>514.02256467766074</v>
      </c>
      <c r="J26" s="1">
        <v>72</v>
      </c>
    </row>
    <row r="27" spans="1:10" x14ac:dyDescent="0.3">
      <c r="A27" s="4" t="s">
        <v>24</v>
      </c>
      <c r="B27" s="4" t="s">
        <v>149</v>
      </c>
      <c r="C27" s="4">
        <v>7</v>
      </c>
      <c r="D27" s="4">
        <v>38438356256.440399</v>
      </c>
      <c r="E27" s="4">
        <v>487412399.26440001</v>
      </c>
      <c r="F27" s="4">
        <v>192191781.28220001</v>
      </c>
      <c r="G27" s="4">
        <v>2437.0619962999999</v>
      </c>
      <c r="H27" s="9">
        <v>6.0943614054478052</v>
      </c>
      <c r="I27" s="11">
        <v>399.88800042634296</v>
      </c>
      <c r="J27" s="1">
        <v>69.5</v>
      </c>
    </row>
    <row r="28" spans="1:10" x14ac:dyDescent="0.3">
      <c r="A28" s="4" t="s">
        <v>26</v>
      </c>
      <c r="B28" s="4" t="s">
        <v>132</v>
      </c>
      <c r="C28" s="4">
        <v>1.5</v>
      </c>
      <c r="D28" s="4">
        <v>79482778311.466705</v>
      </c>
      <c r="E28" s="4">
        <v>483509493.9174</v>
      </c>
      <c r="F28" s="4">
        <v>397413891.55729997</v>
      </c>
      <c r="G28" s="4">
        <v>2417.5474696000001</v>
      </c>
      <c r="H28" s="9">
        <v>12.601911832741424</v>
      </c>
      <c r="I28" s="11">
        <v>191.83973842118891</v>
      </c>
      <c r="J28" s="1">
        <v>64</v>
      </c>
    </row>
    <row r="29" spans="1:10" x14ac:dyDescent="0.3">
      <c r="A29" s="4" t="s">
        <v>27</v>
      </c>
      <c r="B29" s="4" t="s">
        <v>114</v>
      </c>
      <c r="C29" s="4">
        <v>5</v>
      </c>
      <c r="D29" s="4">
        <v>88561293144.432098</v>
      </c>
      <c r="E29" s="4">
        <v>460741188.15600002</v>
      </c>
      <c r="F29" s="4">
        <v>442806465.72219998</v>
      </c>
      <c r="G29" s="4">
        <v>2303.7059408</v>
      </c>
      <c r="H29" s="9">
        <v>14.041300917115693</v>
      </c>
      <c r="I29" s="11">
        <v>164.066417663045</v>
      </c>
      <c r="J29" s="1">
        <v>60</v>
      </c>
    </row>
    <row r="30" spans="1:10" x14ac:dyDescent="0.3">
      <c r="A30" s="4" t="s">
        <v>27</v>
      </c>
      <c r="B30" s="4" t="s">
        <v>112</v>
      </c>
      <c r="C30" s="4">
        <v>3.5</v>
      </c>
      <c r="D30" s="4">
        <v>66063185246.495499</v>
      </c>
      <c r="E30" s="4">
        <v>458960837.71960002</v>
      </c>
      <c r="F30" s="4">
        <v>330315926.23250002</v>
      </c>
      <c r="G30" s="4">
        <v>2294.8041886000001</v>
      </c>
      <c r="H30" s="9">
        <v>10.47424930975639</v>
      </c>
      <c r="I30" s="11">
        <v>219.09008662439149</v>
      </c>
      <c r="J30" s="1">
        <v>74.5</v>
      </c>
    </row>
    <row r="31" spans="1:10" x14ac:dyDescent="0.3">
      <c r="A31" s="4" t="s">
        <v>27</v>
      </c>
      <c r="B31" s="4" t="s">
        <v>101</v>
      </c>
      <c r="C31" s="4">
        <v>5.5</v>
      </c>
      <c r="D31" s="4">
        <v>55966677083.8974</v>
      </c>
      <c r="E31" s="4">
        <v>452621297.76490003</v>
      </c>
      <c r="F31" s="4">
        <v>279833385.41949999</v>
      </c>
      <c r="G31" s="4">
        <v>2263.1064888000001</v>
      </c>
      <c r="H31" s="9">
        <v>8.873458441764555</v>
      </c>
      <c r="I31" s="11">
        <v>255.04221422261645</v>
      </c>
      <c r="J31" s="1">
        <v>72</v>
      </c>
    </row>
    <row r="32" spans="1:10" x14ac:dyDescent="0.3">
      <c r="A32" s="4" t="s">
        <v>39</v>
      </c>
      <c r="B32" s="4" t="s">
        <v>108</v>
      </c>
      <c r="C32" s="4">
        <v>3</v>
      </c>
      <c r="D32" s="4">
        <v>90769714221.824402</v>
      </c>
      <c r="E32" s="4">
        <v>423383837.1045</v>
      </c>
      <c r="F32" s="4">
        <v>453848571.10909998</v>
      </c>
      <c r="G32" s="4">
        <v>2116.9191854999999</v>
      </c>
      <c r="H32" s="9">
        <v>14.391443781999049</v>
      </c>
      <c r="I32" s="11">
        <v>147.09567834659245</v>
      </c>
      <c r="J32" s="1">
        <v>61.5</v>
      </c>
    </row>
    <row r="33" spans="1:10" x14ac:dyDescent="0.3">
      <c r="A33" s="4" t="s">
        <v>27</v>
      </c>
      <c r="B33" s="4" t="s">
        <v>116</v>
      </c>
      <c r="C33" s="4">
        <v>1</v>
      </c>
      <c r="D33" s="4">
        <v>121398086635.4263</v>
      </c>
      <c r="E33" s="4">
        <v>397682590.34380001</v>
      </c>
      <c r="F33" s="4">
        <v>606990433.17709994</v>
      </c>
      <c r="G33" s="4">
        <v>1988.4129516999999</v>
      </c>
      <c r="H33" s="9">
        <v>19.247540372181998</v>
      </c>
      <c r="I33" s="11">
        <v>103.30737918980051</v>
      </c>
      <c r="J33" s="1">
        <v>73</v>
      </c>
    </row>
    <row r="34" spans="1:10" x14ac:dyDescent="0.3">
      <c r="A34" s="4" t="s">
        <v>26</v>
      </c>
      <c r="B34" s="4" t="s">
        <v>144</v>
      </c>
      <c r="C34" s="4">
        <v>1</v>
      </c>
      <c r="D34" s="4">
        <v>94437694997.844299</v>
      </c>
      <c r="E34" s="4">
        <v>393260700.1735</v>
      </c>
      <c r="F34" s="4">
        <v>472188474.9892</v>
      </c>
      <c r="G34" s="4">
        <v>1966.3035009</v>
      </c>
      <c r="H34" s="9">
        <v>14.97299831903924</v>
      </c>
      <c r="I34" s="11">
        <v>131.32329671069985</v>
      </c>
      <c r="J34" s="1">
        <v>58.5</v>
      </c>
    </row>
    <row r="35" spans="1:10" x14ac:dyDescent="0.3">
      <c r="A35" s="4" t="s">
        <v>37</v>
      </c>
      <c r="B35" s="4" t="s">
        <v>142</v>
      </c>
      <c r="C35" s="4">
        <v>3</v>
      </c>
      <c r="D35" s="4">
        <v>75650367988.459503</v>
      </c>
      <c r="E35" s="4">
        <v>386869884.49290001</v>
      </c>
      <c r="F35" s="4">
        <v>378251839.94230002</v>
      </c>
      <c r="G35" s="4">
        <v>1934.3494224999999</v>
      </c>
      <c r="H35" s="9">
        <v>11.99428716204647</v>
      </c>
      <c r="I35" s="11">
        <v>161.27256220952111</v>
      </c>
      <c r="J35" s="1">
        <v>45.5</v>
      </c>
    </row>
    <row r="36" spans="1:10" x14ac:dyDescent="0.3">
      <c r="A36" s="4" t="s">
        <v>23</v>
      </c>
      <c r="B36" s="4" t="s">
        <v>97</v>
      </c>
      <c r="C36" s="4">
        <v>15</v>
      </c>
      <c r="D36" s="4">
        <v>36556077933.724701</v>
      </c>
      <c r="E36" s="4">
        <v>363414714.7726</v>
      </c>
      <c r="F36" s="4">
        <v>182780389.66859999</v>
      </c>
      <c r="G36" s="4">
        <v>1817.0735738999999</v>
      </c>
      <c r="H36" s="9">
        <v>5.7959281351034848</v>
      </c>
      <c r="I36" s="11">
        <v>313.50864461116311</v>
      </c>
      <c r="J36" s="1">
        <v>15</v>
      </c>
    </row>
    <row r="37" spans="1:10" x14ac:dyDescent="0.3">
      <c r="A37" s="4" t="s">
        <v>27</v>
      </c>
      <c r="B37" s="4" t="s">
        <v>105</v>
      </c>
      <c r="C37" s="4">
        <v>18</v>
      </c>
      <c r="D37" s="4">
        <v>95241505751.070496</v>
      </c>
      <c r="E37" s="4">
        <v>362840762.1523</v>
      </c>
      <c r="F37" s="4">
        <v>476207528.7554</v>
      </c>
      <c r="G37" s="4">
        <v>1814.2038107999999</v>
      </c>
      <c r="H37" s="9">
        <v>15.100441677934819</v>
      </c>
      <c r="I37" s="11">
        <v>120.14243354556737</v>
      </c>
      <c r="J37" s="1">
        <v>72.5</v>
      </c>
    </row>
    <row r="38" spans="1:10" x14ac:dyDescent="0.3">
      <c r="A38" s="4" t="s">
        <v>26</v>
      </c>
      <c r="B38" s="4" t="s">
        <v>129</v>
      </c>
      <c r="C38" s="4">
        <v>1</v>
      </c>
      <c r="D38" s="4">
        <v>118158362295.44859</v>
      </c>
      <c r="E38" s="4">
        <v>354418830.7798</v>
      </c>
      <c r="F38" s="4">
        <v>590791811.47720003</v>
      </c>
      <c r="G38" s="4">
        <v>1772.0941539</v>
      </c>
      <c r="H38" s="9">
        <v>18.733885447654838</v>
      </c>
      <c r="I38" s="11">
        <v>94.592985467509408</v>
      </c>
      <c r="J38" s="1">
        <v>65.5</v>
      </c>
    </row>
    <row r="39" spans="1:10" x14ac:dyDescent="0.3">
      <c r="A39" s="4" t="s">
        <v>21</v>
      </c>
      <c r="B39" s="4" t="s">
        <v>95</v>
      </c>
      <c r="C39" s="4">
        <v>10</v>
      </c>
      <c r="D39" s="4">
        <v>21730564922.0242</v>
      </c>
      <c r="E39" s="4">
        <v>349689705.32319999</v>
      </c>
      <c r="F39" s="4">
        <v>108652824.6101</v>
      </c>
      <c r="G39" s="4">
        <v>1748.4485265999999</v>
      </c>
      <c r="H39" s="9">
        <v>3.4453584668353945</v>
      </c>
      <c r="I39" s="11">
        <v>507.47942294839703</v>
      </c>
      <c r="J39" s="1">
        <v>79.5</v>
      </c>
    </row>
    <row r="40" spans="1:10" x14ac:dyDescent="0.3">
      <c r="A40" s="4" t="s">
        <v>22</v>
      </c>
      <c r="B40" s="4" t="s">
        <v>137</v>
      </c>
      <c r="C40" s="4">
        <v>15</v>
      </c>
      <c r="D40" s="4">
        <v>55133754861.021896</v>
      </c>
      <c r="E40" s="4">
        <v>349274709.88870001</v>
      </c>
      <c r="F40" s="4">
        <v>275668774.30510002</v>
      </c>
      <c r="G40" s="4">
        <v>1746.3735494</v>
      </c>
      <c r="H40" s="9">
        <v>8.7413994896343699</v>
      </c>
      <c r="I40" s="11">
        <v>199.78191724001007</v>
      </c>
      <c r="J40" s="1">
        <v>36</v>
      </c>
    </row>
    <row r="41" spans="1:10" x14ac:dyDescent="0.3">
      <c r="A41" s="4" t="s">
        <v>24</v>
      </c>
      <c r="B41" s="4" t="s">
        <v>143</v>
      </c>
      <c r="C41" s="4">
        <v>3</v>
      </c>
      <c r="D41" s="4">
        <v>48299007259.947197</v>
      </c>
      <c r="E41" s="4">
        <v>329244077.36659998</v>
      </c>
      <c r="F41" s="4">
        <v>241495036.29969999</v>
      </c>
      <c r="G41" s="4">
        <v>1646.2203867999999</v>
      </c>
      <c r="H41" s="9">
        <v>7.6577573661763063</v>
      </c>
      <c r="I41" s="11">
        <v>214.97421608984661</v>
      </c>
      <c r="J41" s="1">
        <v>45</v>
      </c>
    </row>
    <row r="42" spans="1:10" x14ac:dyDescent="0.3">
      <c r="A42" s="4" t="s">
        <v>22</v>
      </c>
      <c r="B42" s="4" t="s">
        <v>140</v>
      </c>
      <c r="C42" s="4">
        <v>2</v>
      </c>
      <c r="D42" s="4">
        <v>55013790148.470703</v>
      </c>
      <c r="E42" s="4">
        <v>323493634.82499999</v>
      </c>
      <c r="F42" s="4">
        <v>275068950.74239999</v>
      </c>
      <c r="G42" s="4">
        <v>1617.4681740999999</v>
      </c>
      <c r="H42" s="9">
        <v>8.7223792092324182</v>
      </c>
      <c r="I42" s="11">
        <v>185.43887341976037</v>
      </c>
      <c r="J42" s="1">
        <v>33.5</v>
      </c>
    </row>
    <row r="43" spans="1:10" x14ac:dyDescent="0.3">
      <c r="A43" s="4" t="s">
        <v>10</v>
      </c>
      <c r="B43" s="4" t="s">
        <v>107</v>
      </c>
      <c r="C43" s="4">
        <v>1.3</v>
      </c>
      <c r="D43" s="4">
        <v>29950595759.251999</v>
      </c>
      <c r="E43" s="4">
        <v>319560507.04320002</v>
      </c>
      <c r="F43" s="4">
        <v>149752978.79629999</v>
      </c>
      <c r="G43" s="4">
        <v>1597.8025352</v>
      </c>
      <c r="H43" s="9">
        <v>4.7486358065785135</v>
      </c>
      <c r="I43" s="11">
        <v>336.47611656941291</v>
      </c>
      <c r="J43" s="1">
        <v>31.5</v>
      </c>
    </row>
    <row r="44" spans="1:10" x14ac:dyDescent="0.3">
      <c r="A44" s="4" t="s">
        <v>10</v>
      </c>
      <c r="B44" s="4" t="s">
        <v>113</v>
      </c>
      <c r="C44" s="4">
        <v>18</v>
      </c>
      <c r="D44" s="4">
        <v>78557947627.700394</v>
      </c>
      <c r="E44" s="4">
        <v>279441811.24489999</v>
      </c>
      <c r="F44" s="4">
        <v>392789738.13849998</v>
      </c>
      <c r="G44" s="4">
        <v>1397.2090562000001</v>
      </c>
      <c r="H44" s="9">
        <v>12.455280889729261</v>
      </c>
      <c r="I44" s="11">
        <v>112.17804468401444</v>
      </c>
      <c r="J44" s="1">
        <v>50</v>
      </c>
    </row>
    <row r="45" spans="1:10" x14ac:dyDescent="0.3">
      <c r="A45" s="4" t="s">
        <v>24</v>
      </c>
      <c r="B45" s="4" t="s">
        <v>146</v>
      </c>
      <c r="C45" s="4">
        <v>1</v>
      </c>
      <c r="D45" s="4">
        <v>58601040090.432404</v>
      </c>
      <c r="E45" s="4">
        <v>259540980.18599999</v>
      </c>
      <c r="F45" s="4">
        <v>293005200.4522</v>
      </c>
      <c r="G45" s="4">
        <v>1297.7049009</v>
      </c>
      <c r="H45" s="9">
        <v>9.2911339564993032</v>
      </c>
      <c r="I45" s="11">
        <v>139.67131536105276</v>
      </c>
      <c r="J45" s="1">
        <v>39.5</v>
      </c>
    </row>
    <row r="46" spans="1:10" x14ac:dyDescent="0.3">
      <c r="A46" s="4" t="s">
        <v>27</v>
      </c>
      <c r="B46" s="4" t="s">
        <v>102</v>
      </c>
      <c r="C46" s="4">
        <v>1</v>
      </c>
      <c r="D46" s="4">
        <v>88384783967.516098</v>
      </c>
      <c r="E46" s="4">
        <v>259331421.26159999</v>
      </c>
      <c r="F46" s="4">
        <v>441923919.83759999</v>
      </c>
      <c r="G46" s="4">
        <v>1296.6571062999999</v>
      </c>
      <c r="H46" s="9">
        <v>14.013315570699534</v>
      </c>
      <c r="I46" s="11">
        <v>92.530357984029308</v>
      </c>
      <c r="J46" s="1">
        <v>71.5</v>
      </c>
    </row>
    <row r="47" spans="1:10" x14ac:dyDescent="0.3">
      <c r="A47" s="4" t="s">
        <v>24</v>
      </c>
      <c r="B47" s="4" t="s">
        <v>147</v>
      </c>
      <c r="C47" s="4">
        <v>2</v>
      </c>
      <c r="D47" s="4">
        <v>58946523293.631897</v>
      </c>
      <c r="E47" s="4">
        <v>228658655.54899999</v>
      </c>
      <c r="F47" s="4">
        <v>294732616.46820003</v>
      </c>
      <c r="G47" s="4">
        <v>1143.2932777000001</v>
      </c>
      <c r="H47" s="9">
        <v>9.3459099590360069</v>
      </c>
      <c r="I47" s="11">
        <v>122.33086801725685</v>
      </c>
      <c r="J47" s="1">
        <v>37.5</v>
      </c>
    </row>
    <row r="48" spans="1:10" x14ac:dyDescent="0.3">
      <c r="A48" s="4" t="s">
        <v>38</v>
      </c>
      <c r="B48" s="4" t="s">
        <v>123</v>
      </c>
      <c r="C48" s="4">
        <v>7</v>
      </c>
      <c r="D48" s="4">
        <v>27356292281.609798</v>
      </c>
      <c r="E48" s="4">
        <v>221571622.3096</v>
      </c>
      <c r="F48" s="4">
        <v>136781461.40799999</v>
      </c>
      <c r="G48" s="4">
        <v>1107.8581114999999</v>
      </c>
      <c r="H48" s="9">
        <v>4.3373116884845571</v>
      </c>
      <c r="I48" s="11">
        <v>255.42506305030665</v>
      </c>
      <c r="J48" s="1">
        <v>52</v>
      </c>
    </row>
    <row r="49" spans="1:14" x14ac:dyDescent="0.3">
      <c r="A49" s="4" t="s">
        <v>39</v>
      </c>
      <c r="B49" s="4" t="s">
        <v>117</v>
      </c>
      <c r="C49" s="4">
        <v>2.2999999999999998</v>
      </c>
      <c r="D49" s="4">
        <v>53520358510.444397</v>
      </c>
      <c r="E49" s="4">
        <v>220161500.42910001</v>
      </c>
      <c r="F49" s="4">
        <v>267601792.55219999</v>
      </c>
      <c r="G49" s="4">
        <v>1100.8075021</v>
      </c>
      <c r="H49" s="9">
        <v>8.4855971763134832</v>
      </c>
      <c r="I49" s="11">
        <v>129.72658013660734</v>
      </c>
      <c r="J49" s="1">
        <v>45.5</v>
      </c>
    </row>
    <row r="50" spans="1:14" x14ac:dyDescent="0.3">
      <c r="A50" s="4" t="s">
        <v>38</v>
      </c>
      <c r="B50" s="4" t="s">
        <v>111</v>
      </c>
      <c r="C50" s="4">
        <v>15</v>
      </c>
      <c r="D50" s="4">
        <v>26925267552.524601</v>
      </c>
      <c r="E50" s="4">
        <v>216467022.17030001</v>
      </c>
      <c r="F50" s="4">
        <v>134626337.7626</v>
      </c>
      <c r="G50" s="4">
        <v>1082.3351109</v>
      </c>
      <c r="H50" s="9">
        <v>4.2689731659888066</v>
      </c>
      <c r="I50" s="11">
        <v>253.53523407526566</v>
      </c>
      <c r="J50" s="1">
        <v>54.5</v>
      </c>
    </row>
    <row r="51" spans="1:14" x14ac:dyDescent="0.3">
      <c r="A51" s="4" t="s">
        <v>10</v>
      </c>
      <c r="B51" s="4" t="s">
        <v>128</v>
      </c>
      <c r="C51" s="4">
        <v>1.6</v>
      </c>
      <c r="D51" s="4">
        <v>135827312447.4366</v>
      </c>
      <c r="E51" s="4">
        <v>213325150.86430001</v>
      </c>
      <c r="F51" s="4">
        <v>679136562.23720002</v>
      </c>
      <c r="G51" s="4">
        <v>1066.6257542999999</v>
      </c>
      <c r="H51" s="9">
        <v>21.535279117110065</v>
      </c>
      <c r="I51" s="11">
        <v>49.529228225909158</v>
      </c>
      <c r="J51" s="1">
        <v>49.5</v>
      </c>
    </row>
    <row r="52" spans="1:14" x14ac:dyDescent="0.3">
      <c r="A52" s="4" t="s">
        <v>39</v>
      </c>
      <c r="B52" s="4" t="s">
        <v>121</v>
      </c>
      <c r="C52" s="4">
        <v>1.8</v>
      </c>
      <c r="D52" s="4">
        <v>66409983741.221603</v>
      </c>
      <c r="E52" s="4">
        <v>176036196.0677</v>
      </c>
      <c r="F52" s="4">
        <v>332049918.70609999</v>
      </c>
      <c r="G52" s="4">
        <v>880.1809803000001</v>
      </c>
      <c r="H52" s="9">
        <v>10.529233850396627</v>
      </c>
      <c r="I52" s="11">
        <v>83.594019546526113</v>
      </c>
      <c r="J52" s="1">
        <v>47</v>
      </c>
    </row>
    <row r="53" spans="1:14" x14ac:dyDescent="0.3">
      <c r="A53" s="4" t="s">
        <v>39</v>
      </c>
      <c r="B53" s="4" t="s">
        <v>124</v>
      </c>
      <c r="C53" s="4">
        <v>1</v>
      </c>
      <c r="D53" s="4">
        <v>84161054782.757996</v>
      </c>
      <c r="E53" s="4">
        <v>161937867.69490001</v>
      </c>
      <c r="F53" s="4">
        <v>420805273.9138</v>
      </c>
      <c r="G53" s="4">
        <v>809.68933849999996</v>
      </c>
      <c r="H53" s="9">
        <v>13.343647701477359</v>
      </c>
      <c r="I53" s="11">
        <v>60.679759883825035</v>
      </c>
      <c r="J53" s="1">
        <v>40.5</v>
      </c>
    </row>
    <row r="54" spans="1:14" x14ac:dyDescent="0.3">
      <c r="A54" s="4" t="s">
        <v>39</v>
      </c>
      <c r="B54" s="4" t="s">
        <v>119</v>
      </c>
      <c r="C54" s="4">
        <v>9.25</v>
      </c>
      <c r="D54" s="4">
        <v>77308991659.626602</v>
      </c>
      <c r="E54" s="4">
        <v>154557728.7166</v>
      </c>
      <c r="F54" s="4">
        <v>386544958.29809999</v>
      </c>
      <c r="G54" s="4">
        <v>772.7886436</v>
      </c>
      <c r="H54" s="9">
        <v>12.257260220006755</v>
      </c>
      <c r="I54" s="11">
        <v>63.047420853367029</v>
      </c>
      <c r="J54" s="1">
        <v>40.5</v>
      </c>
    </row>
    <row r="55" spans="1:14" x14ac:dyDescent="0.3">
      <c r="A55" s="4" t="s">
        <v>39</v>
      </c>
      <c r="B55" s="4" t="s">
        <v>122</v>
      </c>
      <c r="C55" s="4">
        <v>1.3</v>
      </c>
      <c r="D55" s="4">
        <v>78574811618.979202</v>
      </c>
      <c r="E55" s="4">
        <v>148600058.2744</v>
      </c>
      <c r="F55" s="4">
        <v>392874058.09490001</v>
      </c>
      <c r="G55" s="4">
        <v>743.00029140000004</v>
      </c>
      <c r="H55" s="9">
        <v>12.457954658006596</v>
      </c>
      <c r="I55" s="11">
        <v>59.640632174117087</v>
      </c>
      <c r="J55" s="1">
        <v>43</v>
      </c>
    </row>
    <row r="56" spans="1:14" x14ac:dyDescent="0.3">
      <c r="A56" s="4" t="s">
        <v>39</v>
      </c>
      <c r="B56" s="4" t="s">
        <v>120</v>
      </c>
      <c r="C56" s="4">
        <v>1</v>
      </c>
      <c r="D56" s="4">
        <v>69791897904.589005</v>
      </c>
      <c r="E56" s="4">
        <v>138215496.39199999</v>
      </c>
      <c r="F56" s="4">
        <v>348959489.52289999</v>
      </c>
      <c r="G56" s="4">
        <v>691.07748199999992</v>
      </c>
      <c r="H56" s="9">
        <v>11.065432823533264</v>
      </c>
      <c r="I56" s="11">
        <v>62.453723502822228</v>
      </c>
      <c r="J56" s="1">
        <v>38.5</v>
      </c>
    </row>
    <row r="57" spans="1:14" x14ac:dyDescent="0.3">
      <c r="A57" s="4" t="s">
        <v>39</v>
      </c>
      <c r="B57" s="4" t="s">
        <v>126</v>
      </c>
      <c r="C57" s="4">
        <v>0.4</v>
      </c>
      <c r="D57" s="4">
        <v>112051857713.2354</v>
      </c>
      <c r="E57" s="4">
        <v>124034688.56990001</v>
      </c>
      <c r="F57" s="4">
        <v>560259288.56620002</v>
      </c>
      <c r="G57" s="4">
        <v>620.17344279999998</v>
      </c>
      <c r="H57" s="9">
        <v>17.76570549740541</v>
      </c>
      <c r="I57" s="11">
        <v>34.908461298684315</v>
      </c>
      <c r="J57" s="1">
        <v>0</v>
      </c>
    </row>
    <row r="58" spans="1:14" x14ac:dyDescent="0.3">
      <c r="A58" s="4" t="s">
        <v>38</v>
      </c>
      <c r="B58" s="4" t="s">
        <v>125</v>
      </c>
      <c r="C58" s="4">
        <v>0.5</v>
      </c>
      <c r="D58" s="4">
        <v>36387179197.438599</v>
      </c>
      <c r="E58" s="4">
        <v>107108527.9365</v>
      </c>
      <c r="F58" s="4">
        <v>181935895.98719999</v>
      </c>
      <c r="G58" s="4">
        <v>535.54263970000011</v>
      </c>
      <c r="H58" s="9">
        <v>5.76914941613372</v>
      </c>
      <c r="I58" s="11">
        <v>92.828699877719899</v>
      </c>
      <c r="J58" s="1">
        <v>12.5</v>
      </c>
    </row>
    <row r="59" spans="1:14" x14ac:dyDescent="0.3">
      <c r="A59" s="4" t="s">
        <v>38</v>
      </c>
      <c r="B59" s="4" t="s">
        <v>118</v>
      </c>
      <c r="C59" s="4">
        <v>1.5</v>
      </c>
      <c r="D59" s="4">
        <v>37911203862.574501</v>
      </c>
      <c r="E59" s="4">
        <v>102676911.40189999</v>
      </c>
      <c r="F59" s="4">
        <v>189556019.31290001</v>
      </c>
      <c r="G59" s="4">
        <v>513.38455699999997</v>
      </c>
      <c r="H59" s="9">
        <v>6.0107819416816497</v>
      </c>
      <c r="I59" s="11">
        <v>85.410610795900752</v>
      </c>
      <c r="J59" s="1">
        <v>11</v>
      </c>
    </row>
    <row r="60" spans="1:14" x14ac:dyDescent="0.3">
      <c r="A60" s="4" t="s">
        <v>38</v>
      </c>
      <c r="B60" s="4" t="s">
        <v>127</v>
      </c>
      <c r="C60" s="4">
        <v>3</v>
      </c>
      <c r="D60" s="4">
        <v>37370739307.508499</v>
      </c>
      <c r="E60" s="4">
        <v>94928930.097000003</v>
      </c>
      <c r="F60" s="4">
        <v>186853696.53749999</v>
      </c>
      <c r="G60" s="4">
        <v>474.64465050000001</v>
      </c>
      <c r="H60" s="9">
        <v>5.9250918486029454</v>
      </c>
      <c r="I60" s="11">
        <v>80.107559954857862</v>
      </c>
      <c r="J60" s="1">
        <v>11.5</v>
      </c>
    </row>
    <row r="61" spans="1:14" ht="50" customHeight="1" x14ac:dyDescent="0.3">
      <c r="A61" s="21" t="s">
        <v>8</v>
      </c>
      <c r="B61" s="22"/>
      <c r="C61" s="22"/>
      <c r="D61" s="22"/>
      <c r="E61" s="22"/>
      <c r="F61" s="22"/>
      <c r="G61" s="22"/>
      <c r="H61" s="22"/>
      <c r="I61" s="22"/>
      <c r="J61" s="22"/>
    </row>
    <row r="62" spans="1:14" x14ac:dyDescent="0.3">
      <c r="A62" s="4" t="s">
        <v>10</v>
      </c>
      <c r="B62" s="4" t="s">
        <v>162</v>
      </c>
      <c r="C62" s="4">
        <v>1.5</v>
      </c>
      <c r="D62" s="4">
        <v>79320115165.084793</v>
      </c>
      <c r="E62" s="4">
        <v>904421616.10969996</v>
      </c>
      <c r="F62" s="4">
        <v>396600575.82539999</v>
      </c>
      <c r="G62" s="4">
        <v>4522.1080805000001</v>
      </c>
      <c r="H62" s="11">
        <v>12.576121760065448</v>
      </c>
      <c r="I62" s="11">
        <v>359.57890411490945</v>
      </c>
      <c r="J62" s="1">
        <v>73</v>
      </c>
      <c r="K62" t="str">
        <f>ROUND(AVERAGE(G62:G118),2)&amp;"±"&amp;ROUND(_xlfn.STDEV.P(G62:G118),2)</f>
        <v>1954.06±1134.91</v>
      </c>
      <c r="L62" t="str">
        <f>ROUND(AVERAGE(H62:H118),2)&amp;"±"&amp;ROUND(_xlfn.STDEV.P(H62:H118),2)</f>
        <v>8.99±2.7</v>
      </c>
      <c r="M62" t="str">
        <f>ROUND(AVERAGE(I62:I118),2)&amp;"±"&amp;ROUND(_xlfn.STDEV.P(I62:I118),2)</f>
        <v>232.72±147.72</v>
      </c>
      <c r="N62" t="str">
        <f>ROUND(AVERAGE(J62:J118),2)&amp;"±"&amp;ROUND(_xlfn.STDEV.P(J62:J118),2)</f>
        <v>54.49±28.41</v>
      </c>
    </row>
    <row r="63" spans="1:14" x14ac:dyDescent="0.3">
      <c r="A63" s="4" t="s">
        <v>10</v>
      </c>
      <c r="B63" s="4" t="s">
        <v>164</v>
      </c>
      <c r="C63" s="4">
        <v>3.6</v>
      </c>
      <c r="D63" s="4">
        <v>50516238377.685799</v>
      </c>
      <c r="E63" s="4">
        <v>815737021.23290002</v>
      </c>
      <c r="F63" s="4">
        <v>252581191.88839999</v>
      </c>
      <c r="G63" s="4">
        <v>4078.6851062000001</v>
      </c>
      <c r="H63" s="11">
        <v>8.0092970537934107</v>
      </c>
      <c r="I63" s="11">
        <v>509.24382986497284</v>
      </c>
      <c r="J63" s="1">
        <v>73.5</v>
      </c>
    </row>
    <row r="64" spans="1:14" x14ac:dyDescent="0.3">
      <c r="A64" s="4" t="s">
        <v>9</v>
      </c>
      <c r="B64" s="4" t="s">
        <v>151</v>
      </c>
      <c r="C64" s="4">
        <v>3.6</v>
      </c>
      <c r="D64" s="4">
        <v>46586058613.924698</v>
      </c>
      <c r="E64" s="4">
        <v>796943422.66050005</v>
      </c>
      <c r="F64" s="4">
        <v>232930293.06959999</v>
      </c>
      <c r="G64" s="4">
        <v>3984.7171133000002</v>
      </c>
      <c r="H64" s="11">
        <v>7.3861711399550831</v>
      </c>
      <c r="I64" s="11">
        <v>539.48345330707195</v>
      </c>
      <c r="J64" s="1">
        <v>62</v>
      </c>
    </row>
    <row r="65" spans="1:10" x14ac:dyDescent="0.3">
      <c r="A65" s="4" t="s">
        <v>10</v>
      </c>
      <c r="B65" s="4" t="s">
        <v>163</v>
      </c>
      <c r="C65" s="4">
        <v>1.5</v>
      </c>
      <c r="D65" s="4">
        <v>83341448136.992096</v>
      </c>
      <c r="E65" s="4">
        <v>780301922.68980002</v>
      </c>
      <c r="F65" s="4">
        <v>416707240.685</v>
      </c>
      <c r="G65" s="4">
        <v>3901.5096134</v>
      </c>
      <c r="H65" s="11">
        <v>13.213699920248621</v>
      </c>
      <c r="I65" s="11">
        <v>295.26246524043898</v>
      </c>
      <c r="J65" s="1">
        <v>66</v>
      </c>
    </row>
    <row r="66" spans="1:10" x14ac:dyDescent="0.3">
      <c r="A66" s="4" t="s">
        <v>9</v>
      </c>
      <c r="B66" s="4" t="s">
        <v>153</v>
      </c>
      <c r="C66" s="4">
        <v>1.5</v>
      </c>
      <c r="D66" s="4">
        <v>71441804725.531601</v>
      </c>
      <c r="E66" s="4">
        <v>778326094.1437</v>
      </c>
      <c r="F66" s="4">
        <v>357209023.62769997</v>
      </c>
      <c r="G66" s="4">
        <v>3891.6304706999999</v>
      </c>
      <c r="H66" s="11">
        <v>11.327023833956684</v>
      </c>
      <c r="I66" s="11">
        <v>343.57043189345887</v>
      </c>
      <c r="J66" s="1">
        <v>56</v>
      </c>
    </row>
    <row r="67" spans="1:10" x14ac:dyDescent="0.3">
      <c r="A67" s="4" t="s">
        <v>9</v>
      </c>
      <c r="B67" s="4" t="s">
        <v>152</v>
      </c>
      <c r="C67" s="4">
        <v>1.3</v>
      </c>
      <c r="D67" s="4">
        <v>72965040910.807907</v>
      </c>
      <c r="E67" s="4">
        <v>710257285.0036</v>
      </c>
      <c r="F67" s="4">
        <v>364825204.55400002</v>
      </c>
      <c r="G67" s="4">
        <v>3551.2864249999998</v>
      </c>
      <c r="H67" s="11">
        <v>11.568531346842958</v>
      </c>
      <c r="I67" s="11">
        <v>306.97815639053806</v>
      </c>
      <c r="J67" s="1">
        <v>53.5</v>
      </c>
    </row>
    <row r="68" spans="1:10" x14ac:dyDescent="0.3">
      <c r="A68" s="4" t="s">
        <v>9</v>
      </c>
      <c r="B68" s="4" t="s">
        <v>154</v>
      </c>
      <c r="C68" s="4">
        <v>1.3</v>
      </c>
      <c r="D68" s="4">
        <v>67457998737.036102</v>
      </c>
      <c r="E68" s="4">
        <v>644273142.56470001</v>
      </c>
      <c r="F68" s="4">
        <v>337289993.68519998</v>
      </c>
      <c r="G68" s="4">
        <v>3221.3657128</v>
      </c>
      <c r="H68" s="11">
        <v>10.695395537962344</v>
      </c>
      <c r="I68" s="11">
        <v>301.19182608684758</v>
      </c>
      <c r="J68" s="1">
        <v>48</v>
      </c>
    </row>
    <row r="69" spans="1:10" x14ac:dyDescent="0.3">
      <c r="A69" s="4" t="s">
        <v>9</v>
      </c>
      <c r="B69" s="4" t="s">
        <v>155</v>
      </c>
      <c r="C69" s="4">
        <v>1</v>
      </c>
      <c r="D69" s="4">
        <v>58343335348.310204</v>
      </c>
      <c r="E69" s="4">
        <v>610751432.13530004</v>
      </c>
      <c r="F69" s="4">
        <v>291716676.74159998</v>
      </c>
      <c r="G69" s="4">
        <v>3053.7571607</v>
      </c>
      <c r="H69" s="11">
        <v>9.2502751376696803</v>
      </c>
      <c r="I69" s="11">
        <v>330.12608979210313</v>
      </c>
      <c r="J69" s="1">
        <v>42.5</v>
      </c>
    </row>
    <row r="70" spans="1:10" x14ac:dyDescent="0.3">
      <c r="A70" s="4" t="s">
        <v>9</v>
      </c>
      <c r="B70" s="4" t="s">
        <v>156</v>
      </c>
      <c r="C70" s="4">
        <v>0.95</v>
      </c>
      <c r="D70" s="4">
        <v>80613675806.647598</v>
      </c>
      <c r="E70" s="4">
        <v>535915374.77810001</v>
      </c>
      <c r="F70" s="4">
        <v>403068379.03320003</v>
      </c>
      <c r="G70" s="4">
        <v>2679.5768739</v>
      </c>
      <c r="H70" s="11">
        <v>12.781214454377157</v>
      </c>
      <c r="I70" s="11">
        <v>209.64962942017851</v>
      </c>
      <c r="J70" s="1">
        <v>42.5</v>
      </c>
    </row>
    <row r="71" spans="1:10" x14ac:dyDescent="0.3">
      <c r="A71" s="4" t="s">
        <v>10</v>
      </c>
      <c r="B71" s="4" t="s">
        <v>168</v>
      </c>
      <c r="C71" s="4">
        <v>1.2</v>
      </c>
      <c r="D71" s="4">
        <v>70205654588.059296</v>
      </c>
      <c r="E71" s="4">
        <v>374191212.09439999</v>
      </c>
      <c r="F71" s="4">
        <v>351028272.94029999</v>
      </c>
      <c r="G71" s="4">
        <v>1870.9560604999999</v>
      </c>
      <c r="H71" s="11">
        <v>11.13103351535694</v>
      </c>
      <c r="I71" s="11">
        <v>168.08466688369359</v>
      </c>
      <c r="J71" s="1">
        <v>51</v>
      </c>
    </row>
    <row r="72" spans="1:10" x14ac:dyDescent="0.3">
      <c r="A72" s="4" t="s">
        <v>9</v>
      </c>
      <c r="B72" s="4" t="s">
        <v>157</v>
      </c>
      <c r="C72" s="4">
        <v>2</v>
      </c>
      <c r="D72" s="4">
        <v>52588991643.436798</v>
      </c>
      <c r="E72" s="4">
        <v>366989150.21759999</v>
      </c>
      <c r="F72" s="4">
        <v>262944958.21720001</v>
      </c>
      <c r="G72" s="4">
        <v>1834.9457511000001</v>
      </c>
      <c r="H72" s="11">
        <v>8.3379299282465755</v>
      </c>
      <c r="I72" s="11">
        <v>220.07210025640978</v>
      </c>
      <c r="J72" s="1">
        <v>33.5</v>
      </c>
    </row>
    <row r="73" spans="1:10" x14ac:dyDescent="0.3">
      <c r="A73" s="4" t="s">
        <v>10</v>
      </c>
      <c r="B73" s="4" t="s">
        <v>167</v>
      </c>
      <c r="C73" s="4">
        <v>1.3</v>
      </c>
      <c r="D73" s="4">
        <v>76971631631.596405</v>
      </c>
      <c r="E73" s="4">
        <v>355725954.43129998</v>
      </c>
      <c r="F73" s="4">
        <v>384858158.15799999</v>
      </c>
      <c r="G73" s="4">
        <v>1778.6297721999999</v>
      </c>
      <c r="H73" s="11">
        <v>12.203772138444382</v>
      </c>
      <c r="I73" s="11">
        <v>145.74426267735299</v>
      </c>
      <c r="J73" s="1">
        <v>51</v>
      </c>
    </row>
    <row r="74" spans="1:10" x14ac:dyDescent="0.3">
      <c r="A74" s="4" t="s">
        <v>10</v>
      </c>
      <c r="B74" s="4" t="s">
        <v>166</v>
      </c>
      <c r="C74" s="4">
        <v>0.2</v>
      </c>
      <c r="D74" s="4">
        <v>67927163714.082001</v>
      </c>
      <c r="E74" s="4">
        <v>351218803.67140001</v>
      </c>
      <c r="F74" s="4">
        <v>339635818.5704</v>
      </c>
      <c r="G74" s="4">
        <v>1756.0940184000001</v>
      </c>
      <c r="H74" s="11">
        <v>10.76978115710331</v>
      </c>
      <c r="I74" s="11">
        <v>163.05753968285157</v>
      </c>
      <c r="J74" s="1">
        <v>0</v>
      </c>
    </row>
    <row r="75" spans="1:10" x14ac:dyDescent="0.3">
      <c r="A75" s="4" t="s">
        <v>10</v>
      </c>
      <c r="B75" s="4" t="s">
        <v>165</v>
      </c>
      <c r="C75" s="4">
        <v>1.2</v>
      </c>
      <c r="D75" s="4">
        <v>74761279087.624695</v>
      </c>
      <c r="E75" s="4">
        <v>332507899.33310002</v>
      </c>
      <c r="F75" s="4">
        <v>373806395.43809998</v>
      </c>
      <c r="G75" s="4">
        <v>1662.5394967</v>
      </c>
      <c r="H75" s="11">
        <v>11.853323041543742</v>
      </c>
      <c r="I75" s="11">
        <v>140.25935941112053</v>
      </c>
      <c r="J75" s="1">
        <v>49</v>
      </c>
    </row>
    <row r="76" spans="1:10" x14ac:dyDescent="0.3">
      <c r="A76" s="4" t="s">
        <v>39</v>
      </c>
      <c r="B76" s="4" t="s">
        <v>170</v>
      </c>
      <c r="C76" s="4">
        <v>3</v>
      </c>
      <c r="D76" s="4">
        <v>59225013411.084999</v>
      </c>
      <c r="E76" s="4">
        <v>298227248.59869999</v>
      </c>
      <c r="F76" s="4">
        <v>296125067.05540001</v>
      </c>
      <c r="G76" s="4">
        <v>1491.1362429999999</v>
      </c>
      <c r="H76" s="11">
        <v>9.390064277505866</v>
      </c>
      <c r="I76" s="11">
        <v>158.79936483204423</v>
      </c>
      <c r="J76" s="1">
        <v>54</v>
      </c>
    </row>
    <row r="77" spans="1:10" x14ac:dyDescent="0.3">
      <c r="A77" s="4" t="s">
        <v>16</v>
      </c>
      <c r="B77" s="4" t="s">
        <v>169</v>
      </c>
      <c r="C77" s="4">
        <v>1</v>
      </c>
      <c r="D77" s="4">
        <v>47324745424.057503</v>
      </c>
      <c r="E77" s="4">
        <v>277965448.0679</v>
      </c>
      <c r="F77" s="4">
        <v>236623727.12029999</v>
      </c>
      <c r="G77" s="4">
        <v>1389.8272403000001</v>
      </c>
      <c r="H77" s="11">
        <v>7.5032891654073923</v>
      </c>
      <c r="I77" s="11">
        <v>185.22906550204095</v>
      </c>
      <c r="J77" s="1">
        <v>31.5</v>
      </c>
    </row>
    <row r="78" spans="1:10" x14ac:dyDescent="0.3">
      <c r="A78" s="4" t="s">
        <v>13</v>
      </c>
      <c r="B78" s="4" t="s">
        <v>171</v>
      </c>
      <c r="C78" s="4">
        <v>1.25</v>
      </c>
      <c r="D78" s="4">
        <v>63574967566.999702</v>
      </c>
      <c r="E78" s="4">
        <v>276388952.94059998</v>
      </c>
      <c r="F78" s="4">
        <v>317874837.83499998</v>
      </c>
      <c r="G78" s="4">
        <v>1381.9447647</v>
      </c>
      <c r="H78" s="11">
        <v>10.079744984620703</v>
      </c>
      <c r="I78" s="11">
        <v>137.10116345289683</v>
      </c>
      <c r="J78" s="1">
        <v>61.5</v>
      </c>
    </row>
    <row r="79" spans="1:10" x14ac:dyDescent="0.3">
      <c r="A79" s="4" t="s">
        <v>9</v>
      </c>
      <c r="B79" s="4" t="s">
        <v>158</v>
      </c>
      <c r="C79" s="4">
        <v>1.3</v>
      </c>
      <c r="D79" s="4">
        <v>40147633009.7621</v>
      </c>
      <c r="E79" s="4">
        <v>269610797.199</v>
      </c>
      <c r="F79" s="4">
        <v>200738165.04879999</v>
      </c>
      <c r="G79" s="4">
        <v>1348.0539859999999</v>
      </c>
      <c r="H79" s="11">
        <v>6.3653654569003839</v>
      </c>
      <c r="I79" s="11">
        <v>211.77951134583168</v>
      </c>
      <c r="J79" s="1">
        <v>14</v>
      </c>
    </row>
    <row r="80" spans="1:10" x14ac:dyDescent="0.3">
      <c r="A80" s="4" t="s">
        <v>39</v>
      </c>
      <c r="B80" s="4" t="s">
        <v>175</v>
      </c>
      <c r="C80" s="4">
        <v>2.5</v>
      </c>
      <c r="D80" s="4">
        <v>53373717404.029404</v>
      </c>
      <c r="E80" s="4">
        <v>245996370.88800001</v>
      </c>
      <c r="F80" s="4">
        <v>266868587.0201</v>
      </c>
      <c r="G80" s="4">
        <v>1229.9818544</v>
      </c>
      <c r="H80" s="11">
        <v>8.4623473814100407</v>
      </c>
      <c r="I80" s="11">
        <v>145.34759670845065</v>
      </c>
      <c r="J80" s="1">
        <v>48</v>
      </c>
    </row>
    <row r="81" spans="1:10" x14ac:dyDescent="0.3">
      <c r="A81" s="4" t="s">
        <v>15</v>
      </c>
      <c r="B81" s="4" t="s">
        <v>172</v>
      </c>
      <c r="C81" s="4">
        <v>1.25</v>
      </c>
      <c r="D81" s="4">
        <v>62542818070.002098</v>
      </c>
      <c r="E81" s="4">
        <v>237025243.0706</v>
      </c>
      <c r="F81" s="4">
        <v>312714090.35000002</v>
      </c>
      <c r="G81" s="4">
        <v>1185.1262154000001</v>
      </c>
      <c r="H81" s="11">
        <v>9.9160987553909976</v>
      </c>
      <c r="I81" s="11">
        <v>119.51537037241516</v>
      </c>
      <c r="J81" s="1">
        <v>52</v>
      </c>
    </row>
    <row r="82" spans="1:10" x14ac:dyDescent="0.3">
      <c r="A82" s="4" t="s">
        <v>9</v>
      </c>
      <c r="B82" s="4" t="s">
        <v>159</v>
      </c>
      <c r="C82" s="4">
        <v>1.5</v>
      </c>
      <c r="D82" s="4">
        <v>48587203576.705399</v>
      </c>
      <c r="E82" s="4">
        <v>236119182.46990001</v>
      </c>
      <c r="F82" s="4">
        <v>242936017.88350001</v>
      </c>
      <c r="G82" s="4">
        <v>1180.5959123</v>
      </c>
      <c r="H82" s="11">
        <v>7.7034505924507544</v>
      </c>
      <c r="I82" s="11">
        <v>153.25546625261194</v>
      </c>
      <c r="J82" s="1">
        <v>15</v>
      </c>
    </row>
    <row r="83" spans="1:10" x14ac:dyDescent="0.3">
      <c r="A83" s="4" t="s">
        <v>14</v>
      </c>
      <c r="B83" s="4" t="s">
        <v>160</v>
      </c>
      <c r="C83" s="4">
        <v>1.25</v>
      </c>
      <c r="D83" s="4">
        <v>61151230935.5858</v>
      </c>
      <c r="E83" s="4">
        <v>230186136.2881</v>
      </c>
      <c r="F83" s="4">
        <v>305756154.67790002</v>
      </c>
      <c r="G83" s="4">
        <v>1150.9306813999999</v>
      </c>
      <c r="H83" s="11">
        <v>9.6954640625928779</v>
      </c>
      <c r="I83" s="11">
        <v>118.70815816238549</v>
      </c>
      <c r="J83" s="1">
        <v>49.5</v>
      </c>
    </row>
    <row r="84" spans="1:10" x14ac:dyDescent="0.3">
      <c r="A84" s="4" t="s">
        <v>40</v>
      </c>
      <c r="B84" s="4" t="s">
        <v>161</v>
      </c>
      <c r="C84" s="4">
        <v>0.95</v>
      </c>
      <c r="D84" s="4">
        <v>90922641370.048996</v>
      </c>
      <c r="E84" s="4">
        <v>217730156.9233</v>
      </c>
      <c r="F84" s="4">
        <v>454613206.8502</v>
      </c>
      <c r="G84" s="4">
        <v>1088.6507846</v>
      </c>
      <c r="H84" s="11">
        <v>14.41569022229341</v>
      </c>
      <c r="I84" s="11">
        <v>75.518464104926167</v>
      </c>
      <c r="J84" s="1">
        <v>38.5</v>
      </c>
    </row>
    <row r="85" spans="1:10" x14ac:dyDescent="0.3">
      <c r="A85" s="4" t="s">
        <v>10</v>
      </c>
      <c r="B85" s="4" t="s">
        <v>179</v>
      </c>
      <c r="C85" s="4">
        <v>2</v>
      </c>
      <c r="D85" s="4">
        <v>42921456276.471298</v>
      </c>
      <c r="E85" s="4">
        <v>203096591.59709999</v>
      </c>
      <c r="F85" s="4">
        <v>214607281.38240001</v>
      </c>
      <c r="G85" s="4">
        <v>1015.4829580000001</v>
      </c>
      <c r="H85" s="11">
        <v>6.8051522508357589</v>
      </c>
      <c r="I85" s="11">
        <v>149.22266549955378</v>
      </c>
      <c r="J85" s="1">
        <v>20</v>
      </c>
    </row>
    <row r="86" spans="1:10" x14ac:dyDescent="0.3">
      <c r="A86" s="4" t="s">
        <v>16</v>
      </c>
      <c r="B86" s="4" t="s">
        <v>174</v>
      </c>
      <c r="C86" s="4">
        <v>0.95</v>
      </c>
      <c r="D86" s="4">
        <v>52663562915.106598</v>
      </c>
      <c r="E86" s="4">
        <v>194890098.21790001</v>
      </c>
      <c r="F86" s="4">
        <v>263317814.57550001</v>
      </c>
      <c r="G86" s="4">
        <v>974.45049110000002</v>
      </c>
      <c r="H86" s="11">
        <v>8.3497531258096451</v>
      </c>
      <c r="I86" s="11">
        <v>116.70410806373525</v>
      </c>
      <c r="J86" s="1">
        <v>22</v>
      </c>
    </row>
    <row r="87" spans="1:10" x14ac:dyDescent="0.3">
      <c r="A87" s="4" t="s">
        <v>13</v>
      </c>
      <c r="B87" s="4" t="s">
        <v>178</v>
      </c>
      <c r="C87" s="4">
        <v>1</v>
      </c>
      <c r="D87" s="4">
        <v>82311829056.167007</v>
      </c>
      <c r="E87" s="4">
        <v>190778530.76499999</v>
      </c>
      <c r="F87" s="4">
        <v>411559145.28079998</v>
      </c>
      <c r="G87" s="4">
        <v>953.89265379999995</v>
      </c>
      <c r="H87" s="11">
        <v>13.050454885871227</v>
      </c>
      <c r="I87" s="11">
        <v>73.092674710726726</v>
      </c>
      <c r="J87" s="1">
        <v>51</v>
      </c>
    </row>
    <row r="88" spans="1:10" x14ac:dyDescent="0.3">
      <c r="A88" s="4" t="s">
        <v>10</v>
      </c>
      <c r="B88" s="4" t="s">
        <v>176</v>
      </c>
      <c r="C88" s="4">
        <v>1.3</v>
      </c>
      <c r="D88" s="4">
        <v>45377625239.342499</v>
      </c>
      <c r="E88" s="4">
        <v>169481122.99200001</v>
      </c>
      <c r="F88" s="4">
        <v>226888126.19670001</v>
      </c>
      <c r="G88" s="4">
        <v>847.40561500000001</v>
      </c>
      <c r="H88" s="11">
        <v>7.1945752852838813</v>
      </c>
      <c r="I88" s="11">
        <v>117.78396658567502</v>
      </c>
      <c r="J88" s="1">
        <v>17.5</v>
      </c>
    </row>
    <row r="89" spans="1:10" x14ac:dyDescent="0.3">
      <c r="A89" s="4" t="s">
        <v>10</v>
      </c>
      <c r="B89" s="4" t="s">
        <v>180</v>
      </c>
      <c r="C89" s="4">
        <v>1.5</v>
      </c>
      <c r="D89" s="4">
        <v>44008388435.499802</v>
      </c>
      <c r="E89" s="4">
        <v>154676401.02289999</v>
      </c>
      <c r="F89" s="4">
        <v>220041942.17750001</v>
      </c>
      <c r="G89" s="4">
        <v>773.3820050999999</v>
      </c>
      <c r="H89" s="11">
        <v>6.9774842141520486</v>
      </c>
      <c r="I89" s="11">
        <v>110.83966389080345</v>
      </c>
      <c r="J89" s="1">
        <v>12.5</v>
      </c>
    </row>
    <row r="90" spans="1:10" x14ac:dyDescent="0.3">
      <c r="A90" s="4" t="s">
        <v>10</v>
      </c>
      <c r="B90" s="4" t="s">
        <v>177</v>
      </c>
      <c r="C90" s="4">
        <v>1.5</v>
      </c>
      <c r="D90" s="4">
        <v>44447739579.946198</v>
      </c>
      <c r="E90" s="4">
        <v>150377951.4957</v>
      </c>
      <c r="F90" s="4">
        <v>222238697.89969999</v>
      </c>
      <c r="G90" s="4">
        <v>751.88975749999997</v>
      </c>
      <c r="H90" s="11">
        <v>7.0471428811431691</v>
      </c>
      <c r="I90" s="11">
        <v>106.69426889469146</v>
      </c>
      <c r="J90" s="1">
        <v>12.5</v>
      </c>
    </row>
    <row r="91" spans="1:10" x14ac:dyDescent="0.3">
      <c r="A91" s="4" t="s">
        <v>10</v>
      </c>
      <c r="B91" s="4" t="s">
        <v>173</v>
      </c>
      <c r="C91" s="4">
        <v>1.3</v>
      </c>
      <c r="D91" s="4">
        <v>36113515851.2276</v>
      </c>
      <c r="E91" s="4">
        <v>123814696.9293</v>
      </c>
      <c r="F91" s="4">
        <v>180567579.2561</v>
      </c>
      <c r="G91" s="4">
        <v>619.07348459999992</v>
      </c>
      <c r="H91" s="11">
        <v>5.7257603772240611</v>
      </c>
      <c r="I91" s="11">
        <v>108.12074620910639</v>
      </c>
      <c r="J91" s="1">
        <v>7.5</v>
      </c>
    </row>
    <row r="92" spans="1:10" x14ac:dyDescent="0.3">
      <c r="A92" s="4" t="s">
        <v>38</v>
      </c>
      <c r="B92" s="4" t="s">
        <v>181</v>
      </c>
      <c r="C92" s="4">
        <v>0.95</v>
      </c>
      <c r="D92" s="4">
        <v>53534754059.749702</v>
      </c>
      <c r="E92" s="4">
        <v>116987740.09190001</v>
      </c>
      <c r="F92" s="4">
        <v>267673770.2987</v>
      </c>
      <c r="G92" s="4">
        <v>584.93870049999998</v>
      </c>
      <c r="H92" s="11">
        <v>8.4878795756832996</v>
      </c>
      <c r="I92" s="11">
        <v>68.914585237021427</v>
      </c>
      <c r="J92" s="1">
        <v>18.5</v>
      </c>
    </row>
    <row r="93" spans="1:10" x14ac:dyDescent="0.3">
      <c r="A93" s="4" t="s">
        <v>38</v>
      </c>
      <c r="B93" s="4" t="s">
        <v>184</v>
      </c>
      <c r="C93" s="4">
        <v>1</v>
      </c>
      <c r="D93" s="4">
        <v>49055748397.240601</v>
      </c>
      <c r="E93" s="4">
        <v>107130772.45630001</v>
      </c>
      <c r="F93" s="4">
        <v>245278741.9862</v>
      </c>
      <c r="G93" s="4">
        <v>535.65386230000001</v>
      </c>
      <c r="H93" s="11">
        <v>7.7777378864219626</v>
      </c>
      <c r="I93" s="11">
        <v>68.870135522967587</v>
      </c>
      <c r="J93" s="1">
        <v>16.5</v>
      </c>
    </row>
    <row r="94" spans="1:10" x14ac:dyDescent="0.3">
      <c r="A94" s="4" t="s">
        <v>38</v>
      </c>
      <c r="B94" s="4" t="s">
        <v>183</v>
      </c>
      <c r="C94" s="4">
        <v>1</v>
      </c>
      <c r="D94" s="4">
        <v>48215626719.480003</v>
      </c>
      <c r="E94" s="4">
        <v>98172215.7227</v>
      </c>
      <c r="F94" s="4">
        <v>241078133.59740001</v>
      </c>
      <c r="G94" s="4">
        <v>490.86107859999998</v>
      </c>
      <c r="H94" s="11">
        <v>7.6445374682077629</v>
      </c>
      <c r="I94" s="11">
        <v>64.210696937702465</v>
      </c>
      <c r="J94" s="1">
        <v>18</v>
      </c>
    </row>
    <row r="95" spans="1:10" x14ac:dyDescent="0.3">
      <c r="A95" s="4" t="s">
        <v>38</v>
      </c>
      <c r="B95" s="4" t="s">
        <v>182</v>
      </c>
      <c r="C95" s="4">
        <v>1.3</v>
      </c>
      <c r="D95" s="4">
        <v>32168330113.194599</v>
      </c>
      <c r="E95" s="4">
        <v>83843678.524100006</v>
      </c>
      <c r="F95" s="4">
        <v>160841650.56600001</v>
      </c>
      <c r="G95" s="4">
        <v>419.21839260000002</v>
      </c>
      <c r="H95" s="11">
        <v>5.1002552817723554</v>
      </c>
      <c r="I95" s="11">
        <v>82.195570503741578</v>
      </c>
      <c r="J95" s="1">
        <v>8.5</v>
      </c>
    </row>
    <row r="96" spans="1:10" ht="92.25" customHeight="1" x14ac:dyDescent="0.3">
      <c r="A96" s="25" t="s">
        <v>50</v>
      </c>
      <c r="B96" s="26"/>
      <c r="C96" s="26"/>
      <c r="D96" s="26"/>
      <c r="E96" s="26"/>
      <c r="F96" s="26"/>
      <c r="G96" s="26"/>
      <c r="H96" s="26"/>
      <c r="I96" s="26"/>
      <c r="J96" s="26"/>
    </row>
    <row r="97" spans="1:14" ht="45" customHeight="1" x14ac:dyDescent="0.3">
      <c r="A97" s="21" t="s">
        <v>6</v>
      </c>
      <c r="B97" s="22"/>
      <c r="C97" s="22"/>
      <c r="D97" s="22"/>
      <c r="E97" s="22"/>
      <c r="F97" s="22"/>
      <c r="G97" s="22"/>
      <c r="H97" s="22"/>
      <c r="I97" s="22"/>
      <c r="J97" s="22"/>
    </row>
    <row r="98" spans="1:14" ht="45" customHeight="1" x14ac:dyDescent="0.3">
      <c r="A98" s="6" t="s">
        <v>4</v>
      </c>
      <c r="B98" s="2" t="s">
        <v>1</v>
      </c>
      <c r="C98" s="2" t="s">
        <v>7</v>
      </c>
      <c r="D98" s="2" t="s">
        <v>2</v>
      </c>
      <c r="E98" s="2" t="s">
        <v>3</v>
      </c>
      <c r="F98" s="2" t="s">
        <v>5</v>
      </c>
      <c r="G98" s="2" t="s">
        <v>0</v>
      </c>
      <c r="H98" s="8" t="s">
        <v>53</v>
      </c>
      <c r="I98" s="8" t="s">
        <v>55</v>
      </c>
      <c r="J98" s="8" t="s">
        <v>58</v>
      </c>
    </row>
    <row r="99" spans="1:14" x14ac:dyDescent="0.3">
      <c r="A99" s="4" t="s">
        <v>45</v>
      </c>
      <c r="B99" s="4" t="s">
        <v>93</v>
      </c>
      <c r="C99" s="4">
        <v>3</v>
      </c>
      <c r="D99" s="4">
        <v>50723047240.163696</v>
      </c>
      <c r="E99" s="4">
        <v>1037708076.5384001</v>
      </c>
      <c r="F99" s="4">
        <v>253615236.2008</v>
      </c>
      <c r="G99" s="4">
        <v>5188.5403827</v>
      </c>
      <c r="H99" s="11">
        <v>8.0420863838412764</v>
      </c>
      <c r="I99" s="11">
        <v>645.17342080845822</v>
      </c>
      <c r="J99" s="1">
        <v>98</v>
      </c>
      <c r="K99" t="str">
        <f>ROUND(AVERAGE(G99:G155),2)&amp;"±"&amp;ROUND(_xlfn.STDEV.P(G99:G155),2)</f>
        <v>1260.61±913.14</v>
      </c>
      <c r="L99" t="str">
        <f>ROUND(AVERAGE(H99:H155),2)&amp;"±"&amp;ROUND(_xlfn.STDEV.P(H99:H155),2)</f>
        <v>8.33±3.91</v>
      </c>
      <c r="M99" t="str">
        <f>ROUND(AVERAGE(I99:I155),2)&amp;"±"&amp;ROUND(_xlfn.STDEV.P(I99:I155),2)</f>
        <v>187.38±146.99</v>
      </c>
      <c r="N99" t="str">
        <f>ROUND(AVERAGE(J99:J155),2)&amp;"±"&amp;ROUND(_xlfn.STDEV.P(J99:J155),2)</f>
        <v>82.41±14.72</v>
      </c>
    </row>
    <row r="100" spans="1:14" x14ac:dyDescent="0.3">
      <c r="A100" s="4" t="s">
        <v>11</v>
      </c>
      <c r="B100" s="4" t="s">
        <v>138</v>
      </c>
      <c r="C100" s="4">
        <v>1</v>
      </c>
      <c r="D100" s="4">
        <v>47852719575.068298</v>
      </c>
      <c r="E100" s="4">
        <v>731721074.03970003</v>
      </c>
      <c r="F100" s="4">
        <v>239263597.87529999</v>
      </c>
      <c r="G100" s="4">
        <v>3658.6053701999999</v>
      </c>
      <c r="H100" s="11">
        <v>7.586998917914177</v>
      </c>
      <c r="I100" s="11">
        <v>482.22036272621824</v>
      </c>
      <c r="J100" s="1">
        <v>92</v>
      </c>
    </row>
    <row r="101" spans="1:14" x14ac:dyDescent="0.3">
      <c r="A101" s="4" t="s">
        <v>11</v>
      </c>
      <c r="B101" s="4" t="s">
        <v>139</v>
      </c>
      <c r="C101" s="4">
        <v>2</v>
      </c>
      <c r="D101" s="4">
        <v>36986103791.920197</v>
      </c>
      <c r="E101" s="4">
        <v>563781378.78830004</v>
      </c>
      <c r="F101" s="4">
        <v>184930518.9596</v>
      </c>
      <c r="G101" s="4">
        <v>2818.9068938999999</v>
      </c>
      <c r="H101" s="11">
        <v>5.8641082876585804</v>
      </c>
      <c r="I101" s="11">
        <v>480.70512269232535</v>
      </c>
      <c r="J101" s="1">
        <v>89.5</v>
      </c>
    </row>
    <row r="102" spans="1:14" x14ac:dyDescent="0.3">
      <c r="A102" s="4" t="s">
        <v>11</v>
      </c>
      <c r="B102" s="4" t="s">
        <v>135</v>
      </c>
      <c r="C102" s="4">
        <v>8</v>
      </c>
      <c r="D102" s="4">
        <v>27059535698.1343</v>
      </c>
      <c r="E102" s="4">
        <v>553473302.79480004</v>
      </c>
      <c r="F102" s="4">
        <v>135297678.49070001</v>
      </c>
      <c r="G102" s="4">
        <v>2767.3665139999998</v>
      </c>
      <c r="H102" s="11">
        <v>4.2902612408254539</v>
      </c>
      <c r="I102" s="11">
        <v>645.03449991953255</v>
      </c>
      <c r="J102" s="1">
        <v>92.5</v>
      </c>
    </row>
    <row r="103" spans="1:14" x14ac:dyDescent="0.3">
      <c r="A103" s="4" t="s">
        <v>11</v>
      </c>
      <c r="B103" s="4" t="s">
        <v>131</v>
      </c>
      <c r="C103" s="4">
        <v>1.5</v>
      </c>
      <c r="D103" s="4">
        <v>67020005059.604401</v>
      </c>
      <c r="E103" s="4">
        <v>533240543.76020002</v>
      </c>
      <c r="F103" s="4">
        <v>335100025.29799998</v>
      </c>
      <c r="G103" s="4">
        <v>2666.2027188000002</v>
      </c>
      <c r="H103" s="11">
        <v>10.625952095954528</v>
      </c>
      <c r="I103" s="11">
        <v>250.91424229317454</v>
      </c>
      <c r="J103" s="1">
        <v>75</v>
      </c>
    </row>
    <row r="104" spans="1:14" x14ac:dyDescent="0.3">
      <c r="A104" s="4" t="s">
        <v>12</v>
      </c>
      <c r="B104" s="4" t="s">
        <v>115</v>
      </c>
      <c r="C104" s="4">
        <v>1.5</v>
      </c>
      <c r="D104" s="4">
        <v>75678829072.683304</v>
      </c>
      <c r="E104" s="4">
        <v>522203724.35549998</v>
      </c>
      <c r="F104" s="4">
        <v>378394145.36339998</v>
      </c>
      <c r="G104" s="4">
        <v>2611.0186217999999</v>
      </c>
      <c r="H104" s="11">
        <v>11.998799637348316</v>
      </c>
      <c r="I104" s="11">
        <v>217.60665239152405</v>
      </c>
      <c r="J104" s="1">
        <v>76.5</v>
      </c>
    </row>
    <row r="105" spans="1:14" x14ac:dyDescent="0.3">
      <c r="A105" s="4" t="s">
        <v>11</v>
      </c>
      <c r="B105" s="4" t="s">
        <v>136</v>
      </c>
      <c r="C105" s="4">
        <v>3</v>
      </c>
      <c r="D105" s="4">
        <v>64225984630.271202</v>
      </c>
      <c r="E105" s="4">
        <v>519303280.65140003</v>
      </c>
      <c r="F105" s="4">
        <v>321129923.15140003</v>
      </c>
      <c r="G105" s="4">
        <v>2596.5164033000001</v>
      </c>
      <c r="H105" s="11">
        <v>10.182963062891806</v>
      </c>
      <c r="I105" s="11">
        <v>254.98633229477991</v>
      </c>
      <c r="J105" s="1">
        <v>75</v>
      </c>
    </row>
    <row r="106" spans="1:14" x14ac:dyDescent="0.3">
      <c r="A106" s="4" t="s">
        <v>12</v>
      </c>
      <c r="B106" s="4" t="s">
        <v>96</v>
      </c>
      <c r="C106" s="4">
        <v>1.5</v>
      </c>
      <c r="D106" s="4">
        <v>67409735023.907303</v>
      </c>
      <c r="E106" s="4">
        <v>494781594.50269997</v>
      </c>
      <c r="F106" s="4">
        <v>337048675.11949998</v>
      </c>
      <c r="G106" s="4">
        <v>2473.9079725000001</v>
      </c>
      <c r="H106" s="11">
        <v>10.687743376443953</v>
      </c>
      <c r="I106" s="11">
        <v>231.47149827273677</v>
      </c>
      <c r="J106" s="1">
        <v>79</v>
      </c>
    </row>
    <row r="107" spans="1:14" x14ac:dyDescent="0.3">
      <c r="A107" s="4" t="s">
        <v>12</v>
      </c>
      <c r="B107" s="4" t="s">
        <v>103</v>
      </c>
      <c r="C107" s="4">
        <v>2</v>
      </c>
      <c r="D107" s="4">
        <v>71401203519.853607</v>
      </c>
      <c r="E107" s="4">
        <v>490007911.1027</v>
      </c>
      <c r="F107" s="4">
        <v>357006017.59930003</v>
      </c>
      <c r="G107" s="4">
        <v>2450.0395555</v>
      </c>
      <c r="H107" s="11">
        <v>11.320586555024988</v>
      </c>
      <c r="I107" s="11">
        <v>216.42337555490667</v>
      </c>
      <c r="J107" s="1">
        <v>84</v>
      </c>
    </row>
    <row r="108" spans="1:14" x14ac:dyDescent="0.3">
      <c r="A108" s="4" t="s">
        <v>12</v>
      </c>
      <c r="B108" s="4" t="s">
        <v>100</v>
      </c>
      <c r="C108" s="4">
        <v>2</v>
      </c>
      <c r="D108" s="4">
        <v>37496851038.232597</v>
      </c>
      <c r="E108" s="4">
        <v>459058534.19870001</v>
      </c>
      <c r="F108" s="4">
        <v>187484255.19119999</v>
      </c>
      <c r="G108" s="4">
        <v>2295.2926710000002</v>
      </c>
      <c r="H108" s="11">
        <v>5.9450867323428138</v>
      </c>
      <c r="I108" s="11">
        <v>386.08228514363174</v>
      </c>
      <c r="J108" s="1">
        <v>93</v>
      </c>
    </row>
    <row r="109" spans="1:14" x14ac:dyDescent="0.3">
      <c r="A109" s="4" t="s">
        <v>12</v>
      </c>
      <c r="B109" s="4" t="s">
        <v>99</v>
      </c>
      <c r="C109" s="4">
        <v>8</v>
      </c>
      <c r="D109" s="4">
        <v>27011383140.162899</v>
      </c>
      <c r="E109" s="4">
        <v>360277679.23500001</v>
      </c>
      <c r="F109" s="4">
        <v>135056915.7008</v>
      </c>
      <c r="G109" s="4">
        <v>1801.3883962</v>
      </c>
      <c r="H109" s="11">
        <v>4.2826267028416574</v>
      </c>
      <c r="I109" s="11">
        <v>420.62699394386209</v>
      </c>
      <c r="J109" s="1">
        <v>93.5</v>
      </c>
    </row>
    <row r="110" spans="1:14" x14ac:dyDescent="0.3">
      <c r="A110" s="4" t="s">
        <v>33</v>
      </c>
      <c r="B110" s="4" t="s">
        <v>134</v>
      </c>
      <c r="C110" s="4">
        <v>5.5</v>
      </c>
      <c r="D110" s="4">
        <v>43512274897.969101</v>
      </c>
      <c r="E110" s="4">
        <v>341192696.63700002</v>
      </c>
      <c r="F110" s="4">
        <v>217561374.48980001</v>
      </c>
      <c r="G110" s="4">
        <v>1705.9634831999999</v>
      </c>
      <c r="H110" s="11">
        <v>6.8988259287749081</v>
      </c>
      <c r="I110" s="11">
        <v>247.28316104983165</v>
      </c>
      <c r="J110" s="1">
        <v>93</v>
      </c>
    </row>
    <row r="111" spans="1:14" x14ac:dyDescent="0.3">
      <c r="A111" s="4" t="s">
        <v>32</v>
      </c>
      <c r="B111" s="4" t="s">
        <v>109</v>
      </c>
      <c r="C111" s="4">
        <v>21</v>
      </c>
      <c r="D111" s="4">
        <v>22668270632.629002</v>
      </c>
      <c r="E111" s="4">
        <v>307758565.66149998</v>
      </c>
      <c r="F111" s="4">
        <v>113341353.1631</v>
      </c>
      <c r="G111" s="4">
        <v>1538.7928283000001</v>
      </c>
      <c r="H111" s="11">
        <v>3.5940307319617264</v>
      </c>
      <c r="I111" s="11">
        <v>428.1523846236235</v>
      </c>
      <c r="J111" s="1">
        <v>52</v>
      </c>
    </row>
    <row r="112" spans="1:14" x14ac:dyDescent="0.3">
      <c r="A112" s="4" t="s">
        <v>45</v>
      </c>
      <c r="B112" s="4" t="s">
        <v>108</v>
      </c>
      <c r="C112" s="4">
        <v>3</v>
      </c>
      <c r="D112" s="4">
        <v>74491776916.748795</v>
      </c>
      <c r="E112" s="4">
        <v>301706578.62410003</v>
      </c>
      <c r="F112" s="4">
        <v>372458884.5837</v>
      </c>
      <c r="G112" s="4">
        <v>1508.5328930999999</v>
      </c>
      <c r="H112" s="11">
        <v>11.810593752655503</v>
      </c>
      <c r="I112" s="11">
        <v>127.72710032133823</v>
      </c>
      <c r="J112" s="1">
        <v>76.5</v>
      </c>
    </row>
    <row r="113" spans="1:10" x14ac:dyDescent="0.3">
      <c r="A113" s="4" t="s">
        <v>34</v>
      </c>
      <c r="B113" s="4" t="s">
        <v>114</v>
      </c>
      <c r="C113" s="4">
        <v>5</v>
      </c>
      <c r="D113" s="4">
        <v>76134047372.204697</v>
      </c>
      <c r="E113" s="4">
        <v>297159921.67220002</v>
      </c>
      <c r="F113" s="4">
        <v>380670236.861</v>
      </c>
      <c r="G113" s="4">
        <v>1485.7996083999999</v>
      </c>
      <c r="H113" s="11">
        <v>12.070974025273449</v>
      </c>
      <c r="I113" s="11">
        <v>123.08862609505462</v>
      </c>
      <c r="J113" s="1">
        <v>74.5</v>
      </c>
    </row>
    <row r="114" spans="1:10" x14ac:dyDescent="0.3">
      <c r="A114" s="4" t="s">
        <v>33</v>
      </c>
      <c r="B114" s="4" t="s">
        <v>132</v>
      </c>
      <c r="C114" s="4">
        <v>1.5</v>
      </c>
      <c r="D114" s="4">
        <v>61553055341.2789</v>
      </c>
      <c r="E114" s="4">
        <v>293720605.2098</v>
      </c>
      <c r="F114" s="4">
        <v>307765276.70639998</v>
      </c>
      <c r="G114" s="4">
        <v>1468.603026</v>
      </c>
      <c r="H114" s="11">
        <v>9.7591729041855189</v>
      </c>
      <c r="I114" s="11">
        <v>150.48437407745331</v>
      </c>
      <c r="J114" s="1">
        <v>82</v>
      </c>
    </row>
    <row r="115" spans="1:10" x14ac:dyDescent="0.3">
      <c r="A115" s="4" t="s">
        <v>33</v>
      </c>
      <c r="B115" s="4" t="s">
        <v>130</v>
      </c>
      <c r="C115" s="4">
        <v>4.3</v>
      </c>
      <c r="D115" s="4">
        <v>31261403263.334999</v>
      </c>
      <c r="E115" s="4">
        <v>288965145.7723</v>
      </c>
      <c r="F115" s="4">
        <v>156307016.31670001</v>
      </c>
      <c r="G115" s="4">
        <v>1444.8257289000001</v>
      </c>
      <c r="H115" s="11">
        <v>4.956462973004661</v>
      </c>
      <c r="I115" s="11">
        <v>291.50338391898271</v>
      </c>
      <c r="J115" s="1">
        <v>95.5</v>
      </c>
    </row>
    <row r="116" spans="1:10" x14ac:dyDescent="0.3">
      <c r="A116" s="4" t="s">
        <v>33</v>
      </c>
      <c r="B116" s="4" t="s">
        <v>144</v>
      </c>
      <c r="C116" s="4">
        <v>1</v>
      </c>
      <c r="D116" s="4">
        <v>78197958758.089798</v>
      </c>
      <c r="E116" s="4">
        <v>264320349.2044</v>
      </c>
      <c r="F116" s="4">
        <v>390989793.79040003</v>
      </c>
      <c r="G116" s="4">
        <v>1321.601746</v>
      </c>
      <c r="H116" s="11">
        <v>12.398205028870148</v>
      </c>
      <c r="I116" s="11">
        <v>106.59621638152873</v>
      </c>
      <c r="J116" s="1">
        <v>78</v>
      </c>
    </row>
    <row r="117" spans="1:10" x14ac:dyDescent="0.3">
      <c r="A117" s="4" t="s">
        <v>43</v>
      </c>
      <c r="B117" s="4" t="s">
        <v>148</v>
      </c>
      <c r="C117" s="4">
        <v>10</v>
      </c>
      <c r="D117" s="4">
        <v>23612159165.447399</v>
      </c>
      <c r="E117" s="4">
        <v>257073624.0654</v>
      </c>
      <c r="F117" s="4">
        <v>118060795.8272</v>
      </c>
      <c r="G117" s="4">
        <v>1285.3681203000001</v>
      </c>
      <c r="H117" s="11">
        <v>3.7436832771193873</v>
      </c>
      <c r="I117" s="11">
        <v>343.34317973849511</v>
      </c>
      <c r="J117" s="1">
        <v>92.5</v>
      </c>
    </row>
    <row r="118" spans="1:10" ht="13.5" customHeight="1" x14ac:dyDescent="0.3">
      <c r="A118" s="4" t="s">
        <v>43</v>
      </c>
      <c r="B118" s="4" t="s">
        <v>142</v>
      </c>
      <c r="C118" s="4">
        <v>3</v>
      </c>
      <c r="D118" s="4">
        <v>68550829013.817299</v>
      </c>
      <c r="E118" s="4">
        <v>246328942.4632</v>
      </c>
      <c r="F118" s="4">
        <v>342754145.06910002</v>
      </c>
      <c r="G118" s="4">
        <v>1231.6447123</v>
      </c>
      <c r="H118" s="11">
        <v>10.868662641713803</v>
      </c>
      <c r="I118" s="11">
        <v>113.32072334023523</v>
      </c>
      <c r="J118" s="1">
        <v>80.5</v>
      </c>
    </row>
    <row r="119" spans="1:10" ht="13.5" customHeight="1" x14ac:dyDescent="0.3">
      <c r="A119" s="4" t="s">
        <v>30</v>
      </c>
      <c r="B119" s="4" t="s">
        <v>97</v>
      </c>
      <c r="C119" s="4">
        <v>15</v>
      </c>
      <c r="D119" s="4">
        <v>49313991302.361801</v>
      </c>
      <c r="E119" s="4">
        <v>241400322.32679999</v>
      </c>
      <c r="F119" s="4">
        <v>246569956.51179999</v>
      </c>
      <c r="G119" s="4">
        <v>1207.0016115999999</v>
      </c>
      <c r="H119" s="11">
        <v>7.8186820304353439</v>
      </c>
      <c r="I119" s="11">
        <v>154.37405011504146</v>
      </c>
      <c r="J119" s="1">
        <v>51.5</v>
      </c>
    </row>
    <row r="120" spans="1:10" ht="13.5" customHeight="1" x14ac:dyDescent="0.3">
      <c r="A120" s="4" t="s">
        <v>33</v>
      </c>
      <c r="B120" s="4" t="s">
        <v>129</v>
      </c>
      <c r="C120" s="4">
        <v>1</v>
      </c>
      <c r="D120" s="4">
        <v>94337564690.598999</v>
      </c>
      <c r="E120" s="4">
        <v>223407133.1979</v>
      </c>
      <c r="F120" s="4">
        <v>471687823.45300001</v>
      </c>
      <c r="G120" s="4">
        <v>1117.035666</v>
      </c>
      <c r="H120" s="11">
        <v>14.957122762969146</v>
      </c>
      <c r="I120" s="11">
        <v>74.68252308295267</v>
      </c>
      <c r="J120" s="1">
        <v>90.5</v>
      </c>
    </row>
    <row r="121" spans="1:10" ht="13.5" customHeight="1" x14ac:dyDescent="0.3">
      <c r="A121" s="4" t="s">
        <v>33</v>
      </c>
      <c r="B121" s="4" t="s">
        <v>145</v>
      </c>
      <c r="C121" s="4">
        <v>7.6</v>
      </c>
      <c r="D121" s="4">
        <v>19180323629.9146</v>
      </c>
      <c r="E121" s="4">
        <v>213898332.33109999</v>
      </c>
      <c r="F121" s="4">
        <v>95901618.149599999</v>
      </c>
      <c r="G121" s="4">
        <v>1069.4916616999999</v>
      </c>
      <c r="H121" s="11">
        <v>3.0410203624293826</v>
      </c>
      <c r="I121" s="11">
        <v>351.68842501456129</v>
      </c>
      <c r="J121" s="1">
        <v>99.5</v>
      </c>
    </row>
    <row r="122" spans="1:10" ht="13.5" customHeight="1" x14ac:dyDescent="0.3">
      <c r="A122" s="4" t="s">
        <v>29</v>
      </c>
      <c r="B122" s="4" t="s">
        <v>133</v>
      </c>
      <c r="C122" s="4">
        <v>3</v>
      </c>
      <c r="D122" s="4">
        <v>43392851362.891403</v>
      </c>
      <c r="E122" s="4">
        <v>213598474.278</v>
      </c>
      <c r="F122" s="4">
        <v>216964256.8145</v>
      </c>
      <c r="G122" s="4">
        <v>1067.9923713999999</v>
      </c>
      <c r="H122" s="11">
        <v>6.8798914514985103</v>
      </c>
      <c r="I122" s="11">
        <v>155.23389851846866</v>
      </c>
      <c r="J122" s="1">
        <v>81.5</v>
      </c>
    </row>
    <row r="123" spans="1:10" ht="13.5" customHeight="1" x14ac:dyDescent="0.3">
      <c r="A123" s="4" t="s">
        <v>34</v>
      </c>
      <c r="B123" s="4" t="s">
        <v>116</v>
      </c>
      <c r="C123" s="4">
        <v>1</v>
      </c>
      <c r="D123" s="4">
        <v>96193286006.883499</v>
      </c>
      <c r="E123" s="4">
        <v>196136560.3053</v>
      </c>
      <c r="F123" s="4">
        <v>480966430.03439999</v>
      </c>
      <c r="G123" s="4">
        <v>980.68280149999998</v>
      </c>
      <c r="H123" s="11">
        <v>15.251345447565242</v>
      </c>
      <c r="I123" s="11">
        <v>64.301395891374185</v>
      </c>
      <c r="J123" s="1">
        <v>93.5</v>
      </c>
    </row>
    <row r="124" spans="1:10" ht="13.5" customHeight="1" x14ac:dyDescent="0.3">
      <c r="A124" s="4" t="s">
        <v>34</v>
      </c>
      <c r="B124" s="4" t="s">
        <v>105</v>
      </c>
      <c r="C124" s="4">
        <v>18</v>
      </c>
      <c r="D124" s="4">
        <v>75506060222.121506</v>
      </c>
      <c r="E124" s="4">
        <v>184064664.44909999</v>
      </c>
      <c r="F124" s="4">
        <v>377530301.11059999</v>
      </c>
      <c r="G124" s="4">
        <v>920.32332220000001</v>
      </c>
      <c r="H124" s="11">
        <v>11.971407315785374</v>
      </c>
      <c r="I124" s="11">
        <v>76.876786322897161</v>
      </c>
      <c r="J124" s="1">
        <v>94</v>
      </c>
    </row>
    <row r="125" spans="1:10" ht="13.5" customHeight="1" x14ac:dyDescent="0.3">
      <c r="A125" s="4" t="s">
        <v>42</v>
      </c>
      <c r="B125" s="4" t="s">
        <v>141</v>
      </c>
      <c r="C125" s="4">
        <v>1.5</v>
      </c>
      <c r="D125" s="4">
        <v>21454471989.959801</v>
      </c>
      <c r="E125" s="4">
        <v>183879888.25400001</v>
      </c>
      <c r="F125" s="4">
        <v>107272359.9498</v>
      </c>
      <c r="G125" s="4">
        <v>919.39944129999992</v>
      </c>
      <c r="H125" s="11">
        <v>3.4015842196156458</v>
      </c>
      <c r="I125" s="11">
        <v>270.28566160384099</v>
      </c>
      <c r="J125" s="1">
        <v>99</v>
      </c>
    </row>
    <row r="126" spans="1:10" ht="13.5" customHeight="1" x14ac:dyDescent="0.3">
      <c r="A126" s="4" t="s">
        <v>34</v>
      </c>
      <c r="B126" s="4" t="s">
        <v>101</v>
      </c>
      <c r="C126" s="4">
        <v>5.5</v>
      </c>
      <c r="D126" s="4">
        <v>43975503552.805801</v>
      </c>
      <c r="E126" s="4">
        <v>178844662.96020001</v>
      </c>
      <c r="F126" s="4">
        <v>219877517.764</v>
      </c>
      <c r="G126" s="4">
        <v>894.22331480000003</v>
      </c>
      <c r="H126" s="11">
        <v>6.9722703502038623</v>
      </c>
      <c r="I126" s="11">
        <v>128.25425146829738</v>
      </c>
      <c r="J126" s="1">
        <v>92.5</v>
      </c>
    </row>
    <row r="127" spans="1:10" ht="13.5" customHeight="1" x14ac:dyDescent="0.3">
      <c r="A127" s="4" t="s">
        <v>41</v>
      </c>
      <c r="B127" s="4" t="s">
        <v>106</v>
      </c>
      <c r="C127" s="4">
        <v>1.5</v>
      </c>
      <c r="D127" s="4">
        <v>21454812001.419899</v>
      </c>
      <c r="E127" s="4">
        <v>178098471.75400001</v>
      </c>
      <c r="F127" s="4">
        <v>107274060.0071</v>
      </c>
      <c r="G127" s="4">
        <v>890.49235880000003</v>
      </c>
      <c r="H127" s="11">
        <v>3.4016381280790049</v>
      </c>
      <c r="I127" s="11">
        <v>261.78338943504394</v>
      </c>
      <c r="J127" s="1">
        <v>99</v>
      </c>
    </row>
    <row r="128" spans="1:10" ht="13.5" customHeight="1" x14ac:dyDescent="0.3">
      <c r="A128" s="4" t="s">
        <v>34</v>
      </c>
      <c r="B128" s="4" t="s">
        <v>112</v>
      </c>
      <c r="C128" s="4">
        <v>3.5</v>
      </c>
      <c r="D128" s="4">
        <v>50023976794.724503</v>
      </c>
      <c r="E128" s="4">
        <v>176342021.5882</v>
      </c>
      <c r="F128" s="4">
        <v>250119883.9736</v>
      </c>
      <c r="G128" s="4">
        <v>881.71010789999991</v>
      </c>
      <c r="H128" s="11">
        <v>7.9312494918069039</v>
      </c>
      <c r="I128" s="11">
        <v>111.16913026261741</v>
      </c>
      <c r="J128" s="1">
        <v>96</v>
      </c>
    </row>
    <row r="129" spans="1:10" ht="13.5" customHeight="1" x14ac:dyDescent="0.3">
      <c r="A129" s="4" t="s">
        <v>34</v>
      </c>
      <c r="B129" s="4" t="s">
        <v>104</v>
      </c>
      <c r="C129" s="4">
        <v>4.3</v>
      </c>
      <c r="D129" s="4">
        <v>31735306692.6931</v>
      </c>
      <c r="E129" s="4">
        <v>175746140.7306</v>
      </c>
      <c r="F129" s="4">
        <v>158676533.46349999</v>
      </c>
      <c r="G129" s="4">
        <v>878.73070369999994</v>
      </c>
      <c r="H129" s="11">
        <v>5.0315998688313517</v>
      </c>
      <c r="I129" s="11">
        <v>174.64240531989986</v>
      </c>
      <c r="J129" s="1">
        <v>96.5</v>
      </c>
    </row>
    <row r="130" spans="1:10" ht="13.5" customHeight="1" x14ac:dyDescent="0.3">
      <c r="A130" s="4" t="s">
        <v>34</v>
      </c>
      <c r="B130" s="4" t="s">
        <v>110</v>
      </c>
      <c r="C130" s="4">
        <v>7.6</v>
      </c>
      <c r="D130" s="4">
        <v>19196466515.946602</v>
      </c>
      <c r="E130" s="4">
        <v>173453331.11230001</v>
      </c>
      <c r="F130" s="4">
        <v>95982332.579699993</v>
      </c>
      <c r="G130" s="4">
        <v>867.26665560000004</v>
      </c>
      <c r="H130" s="11">
        <v>3.0435798002198444</v>
      </c>
      <c r="I130" s="11">
        <v>284.94953723157033</v>
      </c>
      <c r="J130" s="1">
        <v>99</v>
      </c>
    </row>
    <row r="131" spans="1:10" ht="13.5" customHeight="1" x14ac:dyDescent="0.3">
      <c r="A131" s="4" t="s">
        <v>29</v>
      </c>
      <c r="B131" s="4" t="s">
        <v>140</v>
      </c>
      <c r="C131" s="4">
        <v>2</v>
      </c>
      <c r="D131" s="4">
        <v>58393361381.804298</v>
      </c>
      <c r="E131" s="4">
        <v>169686683.72710001</v>
      </c>
      <c r="F131" s="4">
        <v>291966806.90899998</v>
      </c>
      <c r="G131" s="4">
        <v>848.43341859999998</v>
      </c>
      <c r="H131" s="11">
        <v>9.2582067132490327</v>
      </c>
      <c r="I131" s="11">
        <v>91.641226522393623</v>
      </c>
      <c r="J131" s="1">
        <v>85</v>
      </c>
    </row>
    <row r="132" spans="1:10" ht="13.5" customHeight="1" x14ac:dyDescent="0.3">
      <c r="A132" s="4" t="s">
        <v>31</v>
      </c>
      <c r="B132" s="4" t="s">
        <v>150</v>
      </c>
      <c r="C132" s="4">
        <v>1.5</v>
      </c>
      <c r="D132" s="4">
        <v>18868552129.780201</v>
      </c>
      <c r="E132" s="4">
        <v>165943338.56420001</v>
      </c>
      <c r="F132" s="4">
        <v>94342760.648900002</v>
      </c>
      <c r="G132" s="4">
        <v>829.71669279999992</v>
      </c>
      <c r="H132" s="11">
        <v>2.9915893153507422</v>
      </c>
      <c r="I132" s="11">
        <v>277.34979816329559</v>
      </c>
      <c r="J132" s="1">
        <v>96.5</v>
      </c>
    </row>
    <row r="133" spans="1:10" ht="13.5" customHeight="1" x14ac:dyDescent="0.3">
      <c r="A133" s="4" t="s">
        <v>34</v>
      </c>
      <c r="B133" s="4" t="s">
        <v>98</v>
      </c>
      <c r="C133" s="4">
        <v>8.6</v>
      </c>
      <c r="D133" s="4">
        <v>29396164821.750999</v>
      </c>
      <c r="E133" s="4">
        <v>155559417.6347</v>
      </c>
      <c r="F133" s="4">
        <v>146980824.10879999</v>
      </c>
      <c r="G133" s="4">
        <v>777.79708819999996</v>
      </c>
      <c r="H133" s="11">
        <v>4.6607313580909118</v>
      </c>
      <c r="I133" s="11">
        <v>166.88305513463331</v>
      </c>
      <c r="J133" s="1">
        <v>97</v>
      </c>
    </row>
    <row r="134" spans="1:10" ht="13.5" customHeight="1" x14ac:dyDescent="0.3">
      <c r="A134" s="4" t="s">
        <v>12</v>
      </c>
      <c r="B134" s="4" t="s">
        <v>113</v>
      </c>
      <c r="C134" s="4">
        <v>18</v>
      </c>
      <c r="D134" s="4">
        <v>70466543374.986496</v>
      </c>
      <c r="E134" s="4">
        <v>155315822.3441</v>
      </c>
      <c r="F134" s="4">
        <v>352332716.87489998</v>
      </c>
      <c r="G134" s="4">
        <v>776.5791117</v>
      </c>
      <c r="H134" s="11">
        <v>11.172397161178731</v>
      </c>
      <c r="I134" s="11">
        <v>69.508727670227927</v>
      </c>
      <c r="J134" s="1">
        <v>88.5</v>
      </c>
    </row>
    <row r="135" spans="1:10" ht="13.5" customHeight="1" x14ac:dyDescent="0.3">
      <c r="A135" s="4" t="s">
        <v>29</v>
      </c>
      <c r="B135" s="4" t="s">
        <v>137</v>
      </c>
      <c r="C135" s="4">
        <v>15</v>
      </c>
      <c r="D135" s="4">
        <v>54346879939.312599</v>
      </c>
      <c r="E135" s="4">
        <v>152263077.0399</v>
      </c>
      <c r="F135" s="4">
        <v>271734399.69660002</v>
      </c>
      <c r="G135" s="4">
        <v>761.31538520000004</v>
      </c>
      <c r="H135" s="11">
        <v>8.6166412892111559</v>
      </c>
      <c r="I135" s="11">
        <v>88.354076681042571</v>
      </c>
      <c r="J135" s="1">
        <v>80</v>
      </c>
    </row>
    <row r="136" spans="1:10" ht="13.5" customHeight="1" x14ac:dyDescent="0.3">
      <c r="A136" s="4" t="s">
        <v>12</v>
      </c>
      <c r="B136" s="4" t="s">
        <v>128</v>
      </c>
      <c r="C136" s="4">
        <v>1.6</v>
      </c>
      <c r="D136" s="4">
        <v>129242787324.85719</v>
      </c>
      <c r="E136" s="4">
        <v>151773258.7978</v>
      </c>
      <c r="F136" s="4">
        <v>646213936.6243</v>
      </c>
      <c r="G136" s="4">
        <v>758.86629400000004</v>
      </c>
      <c r="H136" s="11">
        <v>20.491309507365738</v>
      </c>
      <c r="I136" s="11">
        <v>37.033567509544497</v>
      </c>
      <c r="J136" s="1">
        <v>81.5</v>
      </c>
    </row>
    <row r="137" spans="1:10" ht="13.5" customHeight="1" x14ac:dyDescent="0.3">
      <c r="A137" s="4" t="s">
        <v>28</v>
      </c>
      <c r="B137" s="4" t="s">
        <v>95</v>
      </c>
      <c r="C137" s="4">
        <v>10</v>
      </c>
      <c r="D137" s="4">
        <v>15928168206.318199</v>
      </c>
      <c r="E137" s="4">
        <v>145362692.58899999</v>
      </c>
      <c r="F137" s="4">
        <v>79640841.031599998</v>
      </c>
      <c r="G137" s="4">
        <v>726.81346289999999</v>
      </c>
      <c r="H137" s="11">
        <v>2.525394502523814</v>
      </c>
      <c r="I137" s="11">
        <v>287.80195021951675</v>
      </c>
      <c r="J137" s="1">
        <v>98.5</v>
      </c>
    </row>
    <row r="138" spans="1:10" ht="13.5" customHeight="1" x14ac:dyDescent="0.3">
      <c r="A138" s="4" t="s">
        <v>31</v>
      </c>
      <c r="B138" s="4" t="s">
        <v>147</v>
      </c>
      <c r="C138" s="4">
        <v>2</v>
      </c>
      <c r="D138" s="4">
        <v>55375822708.618896</v>
      </c>
      <c r="E138" s="4">
        <v>140733192.4224</v>
      </c>
      <c r="F138" s="4">
        <v>276879113.5431</v>
      </c>
      <c r="G138" s="4">
        <v>703.6659621</v>
      </c>
      <c r="H138" s="11">
        <v>8.7797790951006629</v>
      </c>
      <c r="I138" s="11">
        <v>80.146203506721861</v>
      </c>
      <c r="J138" s="1">
        <v>84</v>
      </c>
    </row>
    <row r="139" spans="1:10" ht="13.5" customHeight="1" x14ac:dyDescent="0.3">
      <c r="A139" s="4" t="s">
        <v>12</v>
      </c>
      <c r="B139" s="4" t="s">
        <v>107</v>
      </c>
      <c r="C139" s="4">
        <v>1.3</v>
      </c>
      <c r="D139" s="4">
        <v>32154632210.719799</v>
      </c>
      <c r="E139" s="4">
        <v>139565262.99200001</v>
      </c>
      <c r="F139" s="4">
        <v>160773161.05360001</v>
      </c>
      <c r="G139" s="4">
        <v>697.82631499999991</v>
      </c>
      <c r="H139" s="11">
        <v>5.0980834935819059</v>
      </c>
      <c r="I139" s="11">
        <v>136.88012679245239</v>
      </c>
      <c r="J139" s="1">
        <v>75</v>
      </c>
    </row>
    <row r="140" spans="1:10" ht="13.5" customHeight="1" x14ac:dyDescent="0.3">
      <c r="A140" s="4" t="s">
        <v>31</v>
      </c>
      <c r="B140" s="4" t="s">
        <v>149</v>
      </c>
      <c r="C140" s="4">
        <v>7</v>
      </c>
      <c r="D140" s="4">
        <v>30032296872.1679</v>
      </c>
      <c r="E140" s="4">
        <v>138763696.3087</v>
      </c>
      <c r="F140" s="4">
        <v>150161484.3608</v>
      </c>
      <c r="G140" s="4">
        <v>693.81848149999996</v>
      </c>
      <c r="H140" s="11">
        <v>4.7615894330555397</v>
      </c>
      <c r="I140" s="11">
        <v>145.71152999530509</v>
      </c>
      <c r="J140" s="1">
        <v>93.5</v>
      </c>
    </row>
    <row r="141" spans="1:10" ht="13.5" customHeight="1" x14ac:dyDescent="0.3">
      <c r="A141" s="4" t="s">
        <v>31</v>
      </c>
      <c r="B141" s="4" t="s">
        <v>143</v>
      </c>
      <c r="C141" s="4">
        <v>3</v>
      </c>
      <c r="D141" s="4">
        <v>45852903442.551498</v>
      </c>
      <c r="E141" s="4">
        <v>138067338.76480001</v>
      </c>
      <c r="F141" s="4">
        <v>229264517.2128</v>
      </c>
      <c r="G141" s="4">
        <v>690.33669380000003</v>
      </c>
      <c r="H141" s="11">
        <v>7.2699301500747557</v>
      </c>
      <c r="I141" s="11">
        <v>94.957816588224219</v>
      </c>
      <c r="J141" s="1">
        <v>94</v>
      </c>
    </row>
    <row r="142" spans="1:10" ht="13.5" customHeight="1" x14ac:dyDescent="0.3">
      <c r="A142" s="4" t="s">
        <v>45</v>
      </c>
      <c r="B142" s="4" t="s">
        <v>124</v>
      </c>
      <c r="C142" s="4">
        <v>1</v>
      </c>
      <c r="D142" s="4">
        <v>85167899669.916</v>
      </c>
      <c r="E142" s="4">
        <v>128483622.87970001</v>
      </c>
      <c r="F142" s="4">
        <v>425839498.34960002</v>
      </c>
      <c r="G142" s="4">
        <v>642.41811439999992</v>
      </c>
      <c r="H142" s="11">
        <v>13.503281911135845</v>
      </c>
      <c r="I142" s="11">
        <v>47.574961304052501</v>
      </c>
      <c r="J142" s="1">
        <v>72.5</v>
      </c>
    </row>
    <row r="143" spans="1:10" ht="13.5" customHeight="1" x14ac:dyDescent="0.3">
      <c r="A143" s="4" t="s">
        <v>45</v>
      </c>
      <c r="B143" s="4" t="s">
        <v>117</v>
      </c>
      <c r="C143" s="4">
        <v>2.2999999999999998</v>
      </c>
      <c r="D143" s="4">
        <v>47796708186.882004</v>
      </c>
      <c r="E143" s="4">
        <v>127084431.5094</v>
      </c>
      <c r="F143" s="4">
        <v>238983540.93439999</v>
      </c>
      <c r="G143" s="4">
        <v>635.42215750000003</v>
      </c>
      <c r="H143" s="11">
        <v>7.5781183705736304</v>
      </c>
      <c r="I143" s="11">
        <v>83.849595166973003</v>
      </c>
      <c r="J143" s="1">
        <v>73.5</v>
      </c>
    </row>
    <row r="144" spans="1:10" x14ac:dyDescent="0.3">
      <c r="A144" s="4" t="s">
        <v>31</v>
      </c>
      <c r="B144" s="4" t="s">
        <v>146</v>
      </c>
      <c r="C144" s="4">
        <v>1</v>
      </c>
      <c r="D144" s="4">
        <v>56265661051.883797</v>
      </c>
      <c r="E144" s="4">
        <v>126705194.7168</v>
      </c>
      <c r="F144" s="4">
        <v>281328305.25940001</v>
      </c>
      <c r="G144" s="4">
        <v>633.52597360000004</v>
      </c>
      <c r="H144" s="11">
        <v>8.9208620389212001</v>
      </c>
      <c r="I144" s="11">
        <v>71.0162281218971</v>
      </c>
      <c r="J144" s="1">
        <v>89</v>
      </c>
    </row>
    <row r="145" spans="1:14" x14ac:dyDescent="0.3">
      <c r="A145" s="4" t="s">
        <v>45</v>
      </c>
      <c r="B145" s="4" t="s">
        <v>122</v>
      </c>
      <c r="C145" s="4">
        <v>1.3</v>
      </c>
      <c r="D145" s="4">
        <v>72417977482.130402</v>
      </c>
      <c r="E145" s="4">
        <v>123527917.6602</v>
      </c>
      <c r="F145" s="4">
        <v>362089887.41070002</v>
      </c>
      <c r="G145" s="4">
        <v>617.6395882999999</v>
      </c>
      <c r="H145" s="11">
        <v>11.481795009216516</v>
      </c>
      <c r="I145" s="11">
        <v>53.792946817480747</v>
      </c>
      <c r="J145" s="1">
        <v>73</v>
      </c>
    </row>
    <row r="146" spans="1:14" x14ac:dyDescent="0.3">
      <c r="A146" s="4" t="s">
        <v>34</v>
      </c>
      <c r="B146" s="4" t="s">
        <v>102</v>
      </c>
      <c r="C146" s="4">
        <v>1</v>
      </c>
      <c r="D146" s="4">
        <v>66227343962.430099</v>
      </c>
      <c r="E146" s="4">
        <v>123218170.2042</v>
      </c>
      <c r="F146" s="4">
        <v>331136719.81220001</v>
      </c>
      <c r="G146" s="4">
        <v>616.09085100000004</v>
      </c>
      <c r="H146" s="11">
        <v>10.500276503429429</v>
      </c>
      <c r="I146" s="11">
        <v>58.673774047643647</v>
      </c>
      <c r="J146" s="1">
        <v>87.5</v>
      </c>
    </row>
    <row r="147" spans="1:14" x14ac:dyDescent="0.3">
      <c r="A147" s="4" t="s">
        <v>45</v>
      </c>
      <c r="B147" s="4" t="s">
        <v>121</v>
      </c>
      <c r="C147" s="4">
        <v>1.8</v>
      </c>
      <c r="D147" s="4">
        <v>61381190538.495003</v>
      </c>
      <c r="E147" s="4">
        <v>121552980.347</v>
      </c>
      <c r="F147" s="4">
        <v>306905952.6925</v>
      </c>
      <c r="G147" s="4">
        <v>607.7649017</v>
      </c>
      <c r="H147" s="11">
        <v>9.7319239184574773</v>
      </c>
      <c r="I147" s="11">
        <v>62.450642523758191</v>
      </c>
      <c r="J147" s="1">
        <v>79</v>
      </c>
    </row>
    <row r="148" spans="1:14" x14ac:dyDescent="0.3">
      <c r="A148" s="4" t="s">
        <v>45</v>
      </c>
      <c r="B148" s="4" t="s">
        <v>119</v>
      </c>
      <c r="C148" s="4">
        <v>9.25</v>
      </c>
      <c r="D148" s="4">
        <v>71914490248.346695</v>
      </c>
      <c r="E148" s="4">
        <v>108228482.23980001</v>
      </c>
      <c r="F148" s="4">
        <v>359572451.24169999</v>
      </c>
      <c r="G148" s="4">
        <v>541.14241119999997</v>
      </c>
      <c r="H148" s="11">
        <v>11.401967631967702</v>
      </c>
      <c r="I148" s="11">
        <v>47.460440922740275</v>
      </c>
      <c r="J148" s="1">
        <v>72.5</v>
      </c>
    </row>
    <row r="149" spans="1:14" x14ac:dyDescent="0.3">
      <c r="A149" s="4" t="s">
        <v>45</v>
      </c>
      <c r="B149" s="4" t="s">
        <v>126</v>
      </c>
      <c r="C149" s="4">
        <v>0.4</v>
      </c>
      <c r="D149" s="4">
        <v>115180246338.3194</v>
      </c>
      <c r="E149" s="4">
        <v>106833633.75409999</v>
      </c>
      <c r="F149" s="4">
        <v>575901231.69159997</v>
      </c>
      <c r="G149" s="4">
        <v>534.16816879999999</v>
      </c>
      <c r="H149" s="11">
        <v>18.261708260134355</v>
      </c>
      <c r="I149" s="11">
        <v>29.250722943926277</v>
      </c>
      <c r="J149" s="1">
        <v>52</v>
      </c>
    </row>
    <row r="150" spans="1:14" x14ac:dyDescent="0.3">
      <c r="A150" s="4" t="s">
        <v>45</v>
      </c>
      <c r="B150" s="4" t="s">
        <v>120</v>
      </c>
      <c r="C150" s="4">
        <v>1</v>
      </c>
      <c r="D150" s="4">
        <v>63050959413.014</v>
      </c>
      <c r="E150" s="4">
        <v>102761258.4589</v>
      </c>
      <c r="F150" s="4">
        <v>315254797.06510001</v>
      </c>
      <c r="G150" s="4">
        <v>513.8062923</v>
      </c>
      <c r="H150" s="11">
        <v>9.9966640368172879</v>
      </c>
      <c r="I150" s="11">
        <v>51.397775338620292</v>
      </c>
      <c r="J150" s="1">
        <v>55.5</v>
      </c>
    </row>
    <row r="151" spans="1:14" x14ac:dyDescent="0.3">
      <c r="A151" s="4" t="s">
        <v>44</v>
      </c>
      <c r="B151" s="4" t="s">
        <v>123</v>
      </c>
      <c r="C151" s="4">
        <v>7</v>
      </c>
      <c r="D151" s="4">
        <v>23302552877.400002</v>
      </c>
      <c r="E151" s="4">
        <v>98618998.725700006</v>
      </c>
      <c r="F151" s="4">
        <v>116512764.38699999</v>
      </c>
      <c r="G151" s="4">
        <v>493.09499360000001</v>
      </c>
      <c r="H151" s="11">
        <v>3.694595522165145</v>
      </c>
      <c r="I151" s="11">
        <v>133.46386380911093</v>
      </c>
      <c r="J151" s="1">
        <v>81.5</v>
      </c>
    </row>
    <row r="152" spans="1:14" x14ac:dyDescent="0.3">
      <c r="A152" s="4" t="s">
        <v>44</v>
      </c>
      <c r="B152" s="4" t="s">
        <v>111</v>
      </c>
      <c r="C152" s="4">
        <v>15</v>
      </c>
      <c r="D152" s="4">
        <v>22623564581.992199</v>
      </c>
      <c r="E152" s="4">
        <v>96239422.036200002</v>
      </c>
      <c r="F152" s="4">
        <v>113117822.91</v>
      </c>
      <c r="G152" s="4">
        <v>481.1971102</v>
      </c>
      <c r="H152" s="11">
        <v>3.5869426341311832</v>
      </c>
      <c r="I152" s="11">
        <v>134.15244102908656</v>
      </c>
      <c r="J152" s="1">
        <v>85.5</v>
      </c>
    </row>
    <row r="153" spans="1:14" x14ac:dyDescent="0.3">
      <c r="A153" s="4" t="s">
        <v>44</v>
      </c>
      <c r="B153" s="4" t="s">
        <v>127</v>
      </c>
      <c r="C153" s="4">
        <v>3</v>
      </c>
      <c r="D153" s="4">
        <v>52979170078.596199</v>
      </c>
      <c r="E153" s="4">
        <v>89106758.085899994</v>
      </c>
      <c r="F153" s="4">
        <v>264895850.39300001</v>
      </c>
      <c r="G153" s="4">
        <v>445.53379039999999</v>
      </c>
      <c r="H153" s="11">
        <v>8.3997923133238519</v>
      </c>
      <c r="I153" s="11">
        <v>53.041048371313764</v>
      </c>
      <c r="J153" s="1">
        <v>47.5</v>
      </c>
    </row>
    <row r="154" spans="1:14" x14ac:dyDescent="0.3">
      <c r="A154" s="4" t="s">
        <v>44</v>
      </c>
      <c r="B154" s="4" t="s">
        <v>125</v>
      </c>
      <c r="C154" s="4">
        <v>0.5</v>
      </c>
      <c r="D154" s="4">
        <v>46666447076.961998</v>
      </c>
      <c r="E154" s="4">
        <v>82158331.305999994</v>
      </c>
      <c r="F154" s="4">
        <v>233332235.38479999</v>
      </c>
      <c r="G154" s="4">
        <v>410.79165649999999</v>
      </c>
      <c r="H154" s="11">
        <v>7.398916647159119</v>
      </c>
      <c r="I154" s="11">
        <v>55.520514163073749</v>
      </c>
      <c r="J154" s="1">
        <v>45</v>
      </c>
    </row>
    <row r="155" spans="1:14" x14ac:dyDescent="0.3">
      <c r="A155" s="4" t="s">
        <v>44</v>
      </c>
      <c r="B155" s="4" t="s">
        <v>118</v>
      </c>
      <c r="C155" s="4">
        <v>1.5</v>
      </c>
      <c r="D155" s="4">
        <v>49456722666.234901</v>
      </c>
      <c r="E155" s="4">
        <v>80798952.863900006</v>
      </c>
      <c r="F155" s="4">
        <v>247283613.3312</v>
      </c>
      <c r="G155" s="4">
        <v>403.99476429999999</v>
      </c>
      <c r="H155" s="11">
        <v>7.8413119397252187</v>
      </c>
      <c r="I155" s="11">
        <v>51.521322886455287</v>
      </c>
      <c r="J155" s="1">
        <v>45</v>
      </c>
    </row>
    <row r="156" spans="1:14" ht="46.15" x14ac:dyDescent="0.3">
      <c r="A156" s="21" t="s">
        <v>8</v>
      </c>
      <c r="B156" s="22"/>
      <c r="C156" s="22"/>
      <c r="D156" s="22"/>
      <c r="E156" s="22"/>
      <c r="F156" s="22"/>
      <c r="G156" s="22"/>
      <c r="H156" s="22"/>
      <c r="I156" s="22"/>
      <c r="J156" s="22"/>
    </row>
    <row r="157" spans="1:14" x14ac:dyDescent="0.3">
      <c r="A157" s="4" t="s">
        <v>12</v>
      </c>
      <c r="B157" s="4" t="s">
        <v>162</v>
      </c>
      <c r="C157" s="4">
        <v>1.5</v>
      </c>
      <c r="D157" s="4">
        <v>61975790956.982399</v>
      </c>
      <c r="E157" s="4">
        <v>580959439.32389998</v>
      </c>
      <c r="F157" s="4">
        <v>309878954.78490001</v>
      </c>
      <c r="G157" s="4">
        <v>2904.7971966</v>
      </c>
      <c r="H157" s="11">
        <v>9.8261971963759507</v>
      </c>
      <c r="I157" s="11">
        <v>295.61763707238981</v>
      </c>
      <c r="J157" s="1">
        <v>90</v>
      </c>
      <c r="K157" t="str">
        <f>ROUND(AVERAGE(G157:G213),2)&amp;"±"&amp;ROUND(_xlfn.STDEV.P(G157:G213),2)</f>
        <v>1157.5±805.21</v>
      </c>
      <c r="L157" t="str">
        <f>ROUND(AVERAGE(H157:H213),2)&amp;"±"&amp;ROUND(_xlfn.STDEV.P(H157:H213),2)</f>
        <v>9.11±1.54</v>
      </c>
      <c r="M157" t="str">
        <f>ROUND(AVERAGE(I157:I213),2)&amp;"±"&amp;ROUND(_xlfn.STDEV.P(I157:I213),2)</f>
        <v>130.68±98.04</v>
      </c>
      <c r="N157" t="str">
        <f>ROUND(AVERAGE(J157:J213),2)&amp;"±"&amp;ROUND(_xlfn.STDEV.P(J157:J213),2)</f>
        <v>67.16±20.17</v>
      </c>
    </row>
    <row r="158" spans="1:14" x14ac:dyDescent="0.3">
      <c r="A158" s="4" t="s">
        <v>12</v>
      </c>
      <c r="B158" s="4" t="s">
        <v>163</v>
      </c>
      <c r="C158" s="4">
        <v>1.5</v>
      </c>
      <c r="D158" s="4">
        <v>68239716164.139999</v>
      </c>
      <c r="E158" s="4">
        <v>549777140.2766</v>
      </c>
      <c r="F158" s="4">
        <v>341198580.82069999</v>
      </c>
      <c r="G158" s="4">
        <v>2748.8857014</v>
      </c>
      <c r="H158" s="11">
        <v>10.819336022980087</v>
      </c>
      <c r="I158" s="11">
        <v>254.07157107990852</v>
      </c>
      <c r="J158" s="1">
        <v>86</v>
      </c>
    </row>
    <row r="159" spans="1:14" x14ac:dyDescent="0.3">
      <c r="A159" s="4" t="s">
        <v>11</v>
      </c>
      <c r="B159" s="4" t="s">
        <v>151</v>
      </c>
      <c r="C159" s="4">
        <v>3.6</v>
      </c>
      <c r="D159" s="4">
        <v>38288262957.098602</v>
      </c>
      <c r="E159" s="4">
        <v>525100609.97549999</v>
      </c>
      <c r="F159" s="4">
        <v>191441314.78549999</v>
      </c>
      <c r="G159" s="4">
        <v>2625.5030499</v>
      </c>
      <c r="H159" s="11">
        <v>6.070564268946379</v>
      </c>
      <c r="I159" s="11">
        <v>432.49736492052466</v>
      </c>
      <c r="J159" s="1">
        <v>87.5</v>
      </c>
    </row>
    <row r="160" spans="1:14" x14ac:dyDescent="0.3">
      <c r="A160" s="4" t="s">
        <v>11</v>
      </c>
      <c r="B160" s="4" t="s">
        <v>154</v>
      </c>
      <c r="C160" s="4">
        <v>1.3</v>
      </c>
      <c r="D160" s="4">
        <v>62764157432.3311</v>
      </c>
      <c r="E160" s="4">
        <v>517221785.75379997</v>
      </c>
      <c r="F160" s="4">
        <v>313820787.16170001</v>
      </c>
      <c r="G160" s="4">
        <v>2586.1089287999998</v>
      </c>
      <c r="H160" s="11">
        <v>9.9511918810773565</v>
      </c>
      <c r="I160" s="11">
        <v>259.87931493086808</v>
      </c>
      <c r="J160" s="1">
        <v>80</v>
      </c>
    </row>
    <row r="161" spans="1:10" x14ac:dyDescent="0.3">
      <c r="A161" s="4" t="s">
        <v>11</v>
      </c>
      <c r="B161" s="4" t="s">
        <v>153</v>
      </c>
      <c r="C161" s="4">
        <v>1.5</v>
      </c>
      <c r="D161" s="4">
        <v>55395699763.638802</v>
      </c>
      <c r="E161" s="4">
        <v>511125865.91649997</v>
      </c>
      <c r="F161" s="4">
        <v>276978498.81819999</v>
      </c>
      <c r="G161" s="4">
        <v>2555.6293295999999</v>
      </c>
      <c r="H161" s="11">
        <v>8.7829305815003167</v>
      </c>
      <c r="I161" s="11">
        <v>290.97683351647788</v>
      </c>
      <c r="J161" s="1">
        <v>75</v>
      </c>
    </row>
    <row r="162" spans="1:10" x14ac:dyDescent="0.3">
      <c r="A162" s="4" t="s">
        <v>11</v>
      </c>
      <c r="B162" s="4" t="s">
        <v>152</v>
      </c>
      <c r="C162" s="4">
        <v>1.3</v>
      </c>
      <c r="D162" s="4">
        <v>61091263285.020103</v>
      </c>
      <c r="E162" s="4">
        <v>476512759.36949998</v>
      </c>
      <c r="F162" s="4">
        <v>305456316.42510003</v>
      </c>
      <c r="G162" s="4">
        <v>2382.5637968000001</v>
      </c>
      <c r="H162" s="11">
        <v>9.6859562539669106</v>
      </c>
      <c r="I162" s="11">
        <v>245.9812675515868</v>
      </c>
      <c r="J162" s="1">
        <v>77</v>
      </c>
    </row>
    <row r="163" spans="1:10" x14ac:dyDescent="0.3">
      <c r="A163" s="4" t="s">
        <v>11</v>
      </c>
      <c r="B163" s="4" t="s">
        <v>155</v>
      </c>
      <c r="C163" s="4">
        <v>1</v>
      </c>
      <c r="D163" s="4">
        <v>53570443834.879997</v>
      </c>
      <c r="E163" s="4">
        <v>416881922.10170001</v>
      </c>
      <c r="F163" s="4">
        <v>267852219.1744</v>
      </c>
      <c r="G163" s="4">
        <v>2084.4096104999999</v>
      </c>
      <c r="H163" s="11">
        <v>8.4935381524099434</v>
      </c>
      <c r="I163" s="11">
        <v>245.41122593398521</v>
      </c>
      <c r="J163" s="1">
        <v>78</v>
      </c>
    </row>
    <row r="164" spans="1:10" x14ac:dyDescent="0.3">
      <c r="A164" s="4" t="s">
        <v>12</v>
      </c>
      <c r="B164" s="4" t="s">
        <v>164</v>
      </c>
      <c r="C164" s="4">
        <v>3.6</v>
      </c>
      <c r="D164" s="4">
        <v>39121898709.792297</v>
      </c>
      <c r="E164" s="4">
        <v>390686502.87370002</v>
      </c>
      <c r="F164" s="4">
        <v>195609493.54899999</v>
      </c>
      <c r="G164" s="4">
        <v>1953.4325143999999</v>
      </c>
      <c r="H164" s="11">
        <v>6.2027363504871094</v>
      </c>
      <c r="I164" s="11">
        <v>314.93076668438346</v>
      </c>
      <c r="J164" s="1">
        <v>92.5</v>
      </c>
    </row>
    <row r="165" spans="1:10" x14ac:dyDescent="0.3">
      <c r="A165" s="4" t="s">
        <v>11</v>
      </c>
      <c r="B165" s="4" t="s">
        <v>156</v>
      </c>
      <c r="C165" s="4">
        <v>0.95</v>
      </c>
      <c r="D165" s="4">
        <v>73244843484.242798</v>
      </c>
      <c r="E165" s="4">
        <v>327192961.22960001</v>
      </c>
      <c r="F165" s="4">
        <v>366224217.42119998</v>
      </c>
      <c r="G165" s="4">
        <v>1635.9648061</v>
      </c>
      <c r="H165" s="11">
        <v>11.61289375384367</v>
      </c>
      <c r="I165" s="11">
        <v>140.87486209529158</v>
      </c>
      <c r="J165" s="1">
        <v>68.5</v>
      </c>
    </row>
    <row r="166" spans="1:10" x14ac:dyDescent="0.3">
      <c r="A166" s="4" t="s">
        <v>12</v>
      </c>
      <c r="B166" s="4" t="s">
        <v>166</v>
      </c>
      <c r="C166" s="4">
        <v>0.2</v>
      </c>
      <c r="D166" s="4">
        <v>70795612512.996002</v>
      </c>
      <c r="E166" s="4">
        <v>318062637.55070001</v>
      </c>
      <c r="F166" s="4">
        <v>353978062.565</v>
      </c>
      <c r="G166" s="4">
        <v>1590.3131877999999</v>
      </c>
      <c r="H166" s="11">
        <v>11.224570730751523</v>
      </c>
      <c r="I166" s="11">
        <v>141.68142603824307</v>
      </c>
      <c r="J166" s="1">
        <v>0</v>
      </c>
    </row>
    <row r="167" spans="1:10" x14ac:dyDescent="0.3">
      <c r="A167" s="4" t="s">
        <v>11</v>
      </c>
      <c r="B167" s="4" t="s">
        <v>157</v>
      </c>
      <c r="C167" s="4">
        <v>2</v>
      </c>
      <c r="D167" s="4">
        <v>54534628060.060097</v>
      </c>
      <c r="E167" s="4">
        <v>243875795.9975</v>
      </c>
      <c r="F167" s="4">
        <v>272673140.3003</v>
      </c>
      <c r="G167" s="4">
        <v>1219.37898</v>
      </c>
      <c r="H167" s="11">
        <v>8.6464085584823849</v>
      </c>
      <c r="I167" s="11">
        <v>141.02722208329524</v>
      </c>
      <c r="J167" s="1">
        <v>72</v>
      </c>
    </row>
    <row r="168" spans="1:10" x14ac:dyDescent="0.3">
      <c r="A168" s="4" t="s">
        <v>11</v>
      </c>
      <c r="B168" s="4" t="s">
        <v>158</v>
      </c>
      <c r="C168" s="4">
        <v>1.3</v>
      </c>
      <c r="D168" s="4">
        <v>46530224217.075897</v>
      </c>
      <c r="E168" s="4">
        <v>222097285.2033</v>
      </c>
      <c r="F168" s="4">
        <v>232651121.08539999</v>
      </c>
      <c r="G168" s="4">
        <v>1110.4864259999999</v>
      </c>
      <c r="H168" s="11">
        <v>7.3773186544070102</v>
      </c>
      <c r="I168" s="11">
        <v>150.52710585256142</v>
      </c>
      <c r="J168" s="1">
        <v>33</v>
      </c>
    </row>
    <row r="169" spans="1:10" x14ac:dyDescent="0.3">
      <c r="A169" s="4" t="s">
        <v>12</v>
      </c>
      <c r="B169" s="4" t="s">
        <v>165</v>
      </c>
      <c r="C169" s="4">
        <v>1.2</v>
      </c>
      <c r="D169" s="4">
        <v>68081826903.051903</v>
      </c>
      <c r="E169" s="4">
        <v>214637187.41370001</v>
      </c>
      <c r="F169" s="4">
        <v>340409134.51529998</v>
      </c>
      <c r="G169" s="4">
        <v>1073.1859371</v>
      </c>
      <c r="H169" s="11">
        <v>10.794302844852217</v>
      </c>
      <c r="I169" s="11">
        <v>99.421514527156376</v>
      </c>
      <c r="J169" s="1">
        <v>71.5</v>
      </c>
    </row>
    <row r="170" spans="1:10" x14ac:dyDescent="0.3">
      <c r="A170" s="4" t="s">
        <v>12</v>
      </c>
      <c r="B170" s="4" t="s">
        <v>167</v>
      </c>
      <c r="C170" s="4">
        <v>1.3</v>
      </c>
      <c r="D170" s="4">
        <v>69614651889.052505</v>
      </c>
      <c r="E170" s="4">
        <v>210226478.632</v>
      </c>
      <c r="F170" s="4">
        <v>348073259.44529998</v>
      </c>
      <c r="G170" s="4">
        <v>1051.1323932</v>
      </c>
      <c r="H170" s="11">
        <v>11.037330652120197</v>
      </c>
      <c r="I170" s="11">
        <v>95.234294081611537</v>
      </c>
      <c r="J170" s="1">
        <v>74</v>
      </c>
    </row>
    <row r="171" spans="1:10" x14ac:dyDescent="0.3">
      <c r="A171" s="4" t="s">
        <v>12</v>
      </c>
      <c r="B171" s="4" t="s">
        <v>168</v>
      </c>
      <c r="C171" s="4">
        <v>1.2</v>
      </c>
      <c r="D171" s="4">
        <v>65556732108.769798</v>
      </c>
      <c r="E171" s="4">
        <v>202980669.42269999</v>
      </c>
      <c r="F171" s="4">
        <v>327783660.5438</v>
      </c>
      <c r="G171" s="4">
        <v>1014.9033471</v>
      </c>
      <c r="H171" s="11">
        <v>10.393951691522355</v>
      </c>
      <c r="I171" s="11">
        <v>97.643646730414204</v>
      </c>
      <c r="J171" s="1">
        <v>73</v>
      </c>
    </row>
    <row r="172" spans="1:10" x14ac:dyDescent="0.3">
      <c r="A172" s="4" t="s">
        <v>11</v>
      </c>
      <c r="B172" s="4" t="s">
        <v>159</v>
      </c>
      <c r="C172" s="4">
        <v>1.5</v>
      </c>
      <c r="D172" s="4">
        <v>59973433960.7127</v>
      </c>
      <c r="E172" s="4">
        <v>149865332.45300001</v>
      </c>
      <c r="F172" s="4">
        <v>299867169.80360001</v>
      </c>
      <c r="G172" s="4">
        <v>749.32666229999995</v>
      </c>
      <c r="H172" s="11">
        <v>9.5087255772312123</v>
      </c>
      <c r="I172" s="11">
        <v>78.804110625957492</v>
      </c>
      <c r="J172" s="1">
        <v>65.5</v>
      </c>
    </row>
    <row r="173" spans="1:10" x14ac:dyDescent="0.3">
      <c r="A173" s="4" t="s">
        <v>45</v>
      </c>
      <c r="B173" s="4" t="s">
        <v>170</v>
      </c>
      <c r="C173" s="4">
        <v>3</v>
      </c>
      <c r="D173" s="4">
        <v>49501129861.574699</v>
      </c>
      <c r="E173" s="4">
        <v>149826185.51140001</v>
      </c>
      <c r="F173" s="4">
        <v>247505649.30790001</v>
      </c>
      <c r="G173" s="4">
        <v>749.13092760000006</v>
      </c>
      <c r="H173" s="11">
        <v>7.8483526543592559</v>
      </c>
      <c r="I173" s="11">
        <v>95.450722029406506</v>
      </c>
      <c r="J173" s="1">
        <v>92</v>
      </c>
    </row>
    <row r="174" spans="1:10" x14ac:dyDescent="0.3">
      <c r="A174" s="4" t="s">
        <v>19</v>
      </c>
      <c r="B174" s="4" t="s">
        <v>172</v>
      </c>
      <c r="C174" s="4">
        <v>1.25</v>
      </c>
      <c r="D174" s="4">
        <v>54114566261.398598</v>
      </c>
      <c r="E174" s="4">
        <v>144293545.53560001</v>
      </c>
      <c r="F174" s="4">
        <v>270572831.30699998</v>
      </c>
      <c r="G174" s="4">
        <v>721.46772770000007</v>
      </c>
      <c r="H174" s="11">
        <v>8.5798081972029738</v>
      </c>
      <c r="I174" s="11">
        <v>84.089027530382239</v>
      </c>
      <c r="J174" s="1">
        <v>90.5</v>
      </c>
    </row>
    <row r="175" spans="1:10" x14ac:dyDescent="0.3">
      <c r="A175" s="4" t="s">
        <v>17</v>
      </c>
      <c r="B175" s="4" t="s">
        <v>171</v>
      </c>
      <c r="C175" s="4">
        <v>1.25</v>
      </c>
      <c r="D175" s="4">
        <v>55156528324.471901</v>
      </c>
      <c r="E175" s="4">
        <v>143617829.97130001</v>
      </c>
      <c r="F175" s="4">
        <v>275782641.62239999</v>
      </c>
      <c r="G175" s="4">
        <v>718.08914989999994</v>
      </c>
      <c r="H175" s="11">
        <v>8.7450101985781163</v>
      </c>
      <c r="I175" s="11">
        <v>82.114158084887848</v>
      </c>
      <c r="J175" s="1">
        <v>90.5</v>
      </c>
    </row>
    <row r="176" spans="1:10" x14ac:dyDescent="0.3">
      <c r="A176" s="4" t="s">
        <v>46</v>
      </c>
      <c r="B176" s="4" t="s">
        <v>161</v>
      </c>
      <c r="C176" s="4">
        <v>0.95</v>
      </c>
      <c r="D176" s="4">
        <v>82833193743.931702</v>
      </c>
      <c r="E176" s="4">
        <v>137833846.44940001</v>
      </c>
      <c r="F176" s="4">
        <v>414165968.71969998</v>
      </c>
      <c r="G176" s="4">
        <v>689.16923220000001</v>
      </c>
      <c r="H176" s="11">
        <v>13.133116714854722</v>
      </c>
      <c r="I176" s="11">
        <v>52.475680157512677</v>
      </c>
      <c r="J176" s="1">
        <v>83</v>
      </c>
    </row>
    <row r="177" spans="1:10" x14ac:dyDescent="0.3">
      <c r="A177" s="4" t="s">
        <v>18</v>
      </c>
      <c r="B177" s="4" t="s">
        <v>160</v>
      </c>
      <c r="C177" s="4">
        <v>1.25</v>
      </c>
      <c r="D177" s="4">
        <v>53902112069.307503</v>
      </c>
      <c r="E177" s="4">
        <v>133995281.5592</v>
      </c>
      <c r="F177" s="4">
        <v>269510560.34649998</v>
      </c>
      <c r="G177" s="4">
        <v>669.97640780000006</v>
      </c>
      <c r="H177" s="11">
        <v>8.5461238060165368</v>
      </c>
      <c r="I177" s="11">
        <v>78.395354783923395</v>
      </c>
      <c r="J177" s="1">
        <v>89.5</v>
      </c>
    </row>
    <row r="178" spans="1:10" x14ac:dyDescent="0.3">
      <c r="A178" s="4" t="s">
        <v>20</v>
      </c>
      <c r="B178" s="4" t="s">
        <v>169</v>
      </c>
      <c r="C178" s="4">
        <v>1</v>
      </c>
      <c r="D178" s="4">
        <v>45987798766.782402</v>
      </c>
      <c r="E178" s="4">
        <v>128902167.59209999</v>
      </c>
      <c r="F178" s="4">
        <v>229938993.8339</v>
      </c>
      <c r="G178" s="4">
        <v>644.51083800000004</v>
      </c>
      <c r="H178" s="11">
        <v>7.2913176634294778</v>
      </c>
      <c r="I178" s="11">
        <v>88.394288625309159</v>
      </c>
      <c r="J178" s="1">
        <v>58.5</v>
      </c>
    </row>
    <row r="179" spans="1:10" x14ac:dyDescent="0.3">
      <c r="A179" s="4" t="s">
        <v>17</v>
      </c>
      <c r="B179" s="4" t="s">
        <v>178</v>
      </c>
      <c r="C179" s="4">
        <v>1</v>
      </c>
      <c r="D179" s="4">
        <v>67927194967.828201</v>
      </c>
      <c r="E179" s="4">
        <v>116260698.3988</v>
      </c>
      <c r="F179" s="4">
        <v>339635974.8391</v>
      </c>
      <c r="G179" s="4">
        <v>581.30349200000001</v>
      </c>
      <c r="H179" s="11">
        <v>10.769786112352264</v>
      </c>
      <c r="I179" s="11">
        <v>53.975398019583842</v>
      </c>
      <c r="J179" s="1">
        <v>67.5</v>
      </c>
    </row>
    <row r="180" spans="1:10" x14ac:dyDescent="0.3">
      <c r="A180" s="4" t="s">
        <v>12</v>
      </c>
      <c r="B180" s="4" t="s">
        <v>177</v>
      </c>
      <c r="C180" s="4">
        <v>1.5</v>
      </c>
      <c r="D180" s="4">
        <v>56315392894.104301</v>
      </c>
      <c r="E180" s="4">
        <v>113510853.9665</v>
      </c>
      <c r="F180" s="4">
        <v>281576964.47049999</v>
      </c>
      <c r="G180" s="4">
        <v>567.55426980000004</v>
      </c>
      <c r="H180" s="11">
        <v>8.928746970780109</v>
      </c>
      <c r="I180" s="11">
        <v>63.56482848683666</v>
      </c>
      <c r="J180" s="1">
        <v>58.5</v>
      </c>
    </row>
    <row r="181" spans="1:10" x14ac:dyDescent="0.3">
      <c r="A181" s="4" t="s">
        <v>20</v>
      </c>
      <c r="B181" s="4" t="s">
        <v>174</v>
      </c>
      <c r="C181" s="4">
        <v>0.95</v>
      </c>
      <c r="D181" s="4">
        <v>63352084746.145203</v>
      </c>
      <c r="E181" s="4">
        <v>112605347.65279999</v>
      </c>
      <c r="F181" s="4">
        <v>316760423.73070002</v>
      </c>
      <c r="G181" s="4">
        <v>563.02673829999992</v>
      </c>
      <c r="H181" s="11">
        <v>10.04440714519045</v>
      </c>
      <c r="I181" s="11">
        <v>56.053755105854435</v>
      </c>
      <c r="J181" s="1">
        <v>50.5</v>
      </c>
    </row>
    <row r="182" spans="1:10" x14ac:dyDescent="0.3">
      <c r="A182" s="4" t="s">
        <v>45</v>
      </c>
      <c r="B182" s="4" t="s">
        <v>175</v>
      </c>
      <c r="C182" s="4">
        <v>2.5</v>
      </c>
      <c r="D182" s="4">
        <v>45213034311.489502</v>
      </c>
      <c r="E182" s="4">
        <v>112054003.5751</v>
      </c>
      <c r="F182" s="4">
        <v>226065171.55739999</v>
      </c>
      <c r="G182" s="4">
        <v>560.27001789999997</v>
      </c>
      <c r="H182" s="11">
        <v>7.1684795648607151</v>
      </c>
      <c r="I182" s="11">
        <v>78.157440895332471</v>
      </c>
      <c r="J182" s="1">
        <v>74</v>
      </c>
    </row>
    <row r="183" spans="1:10" x14ac:dyDescent="0.3">
      <c r="A183" s="4" t="s">
        <v>12</v>
      </c>
      <c r="B183" s="4" t="s">
        <v>179</v>
      </c>
      <c r="C183" s="4">
        <v>2</v>
      </c>
      <c r="D183" s="4">
        <v>48919867137.299896</v>
      </c>
      <c r="E183" s="4">
        <v>105431142.6559</v>
      </c>
      <c r="F183" s="4">
        <v>244599335.68650001</v>
      </c>
      <c r="G183" s="4">
        <v>527.15571329999989</v>
      </c>
      <c r="H183" s="11">
        <v>7.7561940539859044</v>
      </c>
      <c r="I183" s="11">
        <v>67.965771566673837</v>
      </c>
      <c r="J183" s="1">
        <v>63</v>
      </c>
    </row>
    <row r="184" spans="1:10" x14ac:dyDescent="0.3">
      <c r="A184" s="4" t="s">
        <v>12</v>
      </c>
      <c r="B184" s="4" t="s">
        <v>176</v>
      </c>
      <c r="C184" s="4">
        <v>1.3</v>
      </c>
      <c r="D184" s="4">
        <v>53338325174.169701</v>
      </c>
      <c r="E184" s="4">
        <v>105154039.00399999</v>
      </c>
      <c r="F184" s="4">
        <v>266691625.87079999</v>
      </c>
      <c r="G184" s="4">
        <v>525.77019499999994</v>
      </c>
      <c r="H184" s="11">
        <v>8.4567359801765765</v>
      </c>
      <c r="I184" s="11">
        <v>62.171764169114084</v>
      </c>
      <c r="J184" s="1">
        <v>55</v>
      </c>
    </row>
    <row r="185" spans="1:10" x14ac:dyDescent="0.3">
      <c r="A185" s="4" t="s">
        <v>12</v>
      </c>
      <c r="B185" s="4" t="s">
        <v>173</v>
      </c>
      <c r="C185" s="4">
        <v>1.3</v>
      </c>
      <c r="D185" s="4">
        <v>51165672257.1633</v>
      </c>
      <c r="E185" s="4">
        <v>98314916.330500007</v>
      </c>
      <c r="F185" s="4">
        <v>255828361.28580001</v>
      </c>
      <c r="G185" s="4">
        <v>491.57458170000001</v>
      </c>
      <c r="H185" s="11">
        <v>8.1122641199206136</v>
      </c>
      <c r="I185" s="11">
        <v>60.596471519323579</v>
      </c>
      <c r="J185" s="1">
        <v>56.5</v>
      </c>
    </row>
    <row r="186" spans="1:10" x14ac:dyDescent="0.3">
      <c r="A186" s="4" t="s">
        <v>12</v>
      </c>
      <c r="B186" s="4" t="s">
        <v>180</v>
      </c>
      <c r="C186" s="4">
        <v>1.5</v>
      </c>
      <c r="D186" s="4">
        <v>57333323592.563599</v>
      </c>
      <c r="E186" s="4">
        <v>97290375.912599996</v>
      </c>
      <c r="F186" s="4">
        <v>286666617.96280003</v>
      </c>
      <c r="G186" s="4">
        <v>486.45187959999998</v>
      </c>
      <c r="H186" s="11">
        <v>9.0901388242902712</v>
      </c>
      <c r="I186" s="11">
        <v>53.514240981680558</v>
      </c>
      <c r="J186" s="1">
        <v>58.5</v>
      </c>
    </row>
    <row r="187" spans="1:10" x14ac:dyDescent="0.3">
      <c r="A187" s="4" t="s">
        <v>44</v>
      </c>
      <c r="B187" s="4" t="s">
        <v>182</v>
      </c>
      <c r="C187" s="4">
        <v>1.3</v>
      </c>
      <c r="D187" s="4">
        <v>49337995275.867699</v>
      </c>
      <c r="E187" s="4">
        <v>81805265.043899998</v>
      </c>
      <c r="F187" s="4">
        <v>246689976.3793</v>
      </c>
      <c r="G187" s="4">
        <v>409.02632519999997</v>
      </c>
      <c r="H187" s="11">
        <v>7.8224878354686229</v>
      </c>
      <c r="I187" s="11">
        <v>52.288521734146791</v>
      </c>
      <c r="J187" s="1">
        <v>48</v>
      </c>
    </row>
    <row r="188" spans="1:10" x14ac:dyDescent="0.3">
      <c r="A188" s="4" t="s">
        <v>44</v>
      </c>
      <c r="B188" s="4" t="s">
        <v>181</v>
      </c>
      <c r="C188" s="4">
        <v>0.95</v>
      </c>
      <c r="D188" s="4">
        <v>62470212749.372498</v>
      </c>
      <c r="E188" s="4">
        <v>81246807.694600001</v>
      </c>
      <c r="F188" s="4">
        <v>312351063.74690002</v>
      </c>
      <c r="G188" s="4">
        <v>406.2340385</v>
      </c>
      <c r="H188" s="11">
        <v>9.9045872573206015</v>
      </c>
      <c r="I188" s="11">
        <v>41.014736701900169</v>
      </c>
      <c r="J188" s="1">
        <v>44.5</v>
      </c>
    </row>
    <row r="189" spans="1:10" x14ac:dyDescent="0.3">
      <c r="A189" s="4" t="s">
        <v>44</v>
      </c>
      <c r="B189" s="4" t="s">
        <v>183</v>
      </c>
      <c r="C189" s="4">
        <v>1</v>
      </c>
      <c r="D189" s="4">
        <v>54254192308.408997</v>
      </c>
      <c r="E189" s="4">
        <v>78642523.492500007</v>
      </c>
      <c r="F189" s="4">
        <v>271270961.542</v>
      </c>
      <c r="G189" s="4">
        <v>393.21261750000002</v>
      </c>
      <c r="H189" s="11">
        <v>8.6019457617340489</v>
      </c>
      <c r="I189" s="11">
        <v>45.712054968913577</v>
      </c>
      <c r="J189" s="1">
        <v>42.5</v>
      </c>
    </row>
    <row r="190" spans="1:10" x14ac:dyDescent="0.3">
      <c r="A190" s="4" t="s">
        <v>44</v>
      </c>
      <c r="B190" s="4" t="s">
        <v>187</v>
      </c>
      <c r="C190" s="4">
        <v>1</v>
      </c>
      <c r="D190" s="4">
        <v>53891588758.166199</v>
      </c>
      <c r="E190" s="4">
        <v>73040352.086099997</v>
      </c>
      <c r="F190" s="4">
        <v>269457943.79079998</v>
      </c>
      <c r="G190" s="4">
        <v>365.20176040000001</v>
      </c>
      <c r="H190" s="11">
        <v>8.5444553459801806</v>
      </c>
      <c r="I190" s="11">
        <v>42.741373863205055</v>
      </c>
      <c r="J190" s="1">
        <v>37.5</v>
      </c>
    </row>
    <row r="191" spans="1:10" x14ac:dyDescent="0.3">
      <c r="A191" s="5"/>
      <c r="B191" s="5"/>
      <c r="C191"/>
      <c r="D191"/>
      <c r="E191"/>
      <c r="F191"/>
    </row>
    <row r="192" spans="1:10" x14ac:dyDescent="0.3">
      <c r="A192" s="5"/>
      <c r="B192" s="5"/>
      <c r="C192"/>
      <c r="D192"/>
      <c r="E192"/>
      <c r="F192"/>
    </row>
    <row r="193" spans="1:6" x14ac:dyDescent="0.3">
      <c r="A193" s="5"/>
      <c r="B193" s="5"/>
      <c r="C193"/>
      <c r="D193"/>
      <c r="E193"/>
      <c r="F193"/>
    </row>
    <row r="194" spans="1:6" x14ac:dyDescent="0.3">
      <c r="A194" s="5"/>
      <c r="B194" s="5"/>
    </row>
    <row r="195" spans="1:6" x14ac:dyDescent="0.3">
      <c r="A195" s="5"/>
      <c r="B195" s="5"/>
    </row>
    <row r="196" spans="1:6" x14ac:dyDescent="0.3">
      <c r="A196" s="5"/>
      <c r="B196" s="5"/>
    </row>
    <row r="197" spans="1:6" x14ac:dyDescent="0.3">
      <c r="A197" s="5"/>
      <c r="B197" s="5"/>
    </row>
    <row r="198" spans="1:6" x14ac:dyDescent="0.3">
      <c r="A198" s="5"/>
      <c r="B198" s="5"/>
    </row>
    <row r="199" spans="1:6" x14ac:dyDescent="0.3">
      <c r="A199" s="5"/>
      <c r="B199" s="5"/>
    </row>
    <row r="200" spans="1:6" x14ac:dyDescent="0.3">
      <c r="A200" s="5"/>
      <c r="B200" s="5"/>
    </row>
    <row r="201" spans="1:6" x14ac:dyDescent="0.3">
      <c r="A201" s="5"/>
      <c r="B201" s="5"/>
    </row>
    <row r="202" spans="1:6" x14ac:dyDescent="0.3">
      <c r="A202" s="5"/>
      <c r="B202" s="5"/>
    </row>
    <row r="203" spans="1:6" x14ac:dyDescent="0.3">
      <c r="A203" s="5"/>
      <c r="B203" s="5"/>
    </row>
    <row r="204" spans="1:6" x14ac:dyDescent="0.3">
      <c r="A204" s="5"/>
      <c r="B204" s="5"/>
    </row>
    <row r="205" spans="1:6" x14ac:dyDescent="0.3">
      <c r="A205" s="5"/>
      <c r="B205" s="5"/>
    </row>
    <row r="206" spans="1:6" x14ac:dyDescent="0.3">
      <c r="A206" s="5"/>
      <c r="B206" s="5"/>
    </row>
    <row r="207" spans="1:6" x14ac:dyDescent="0.3">
      <c r="A207" s="5"/>
      <c r="B207" s="5"/>
    </row>
    <row r="208" spans="1:6" x14ac:dyDescent="0.3">
      <c r="A208" s="5"/>
      <c r="B208" s="5"/>
    </row>
    <row r="209" spans="1:2" x14ac:dyDescent="0.3">
      <c r="A209" s="5"/>
      <c r="B209" s="5"/>
    </row>
    <row r="210" spans="1:2" x14ac:dyDescent="0.3">
      <c r="A210" s="5"/>
      <c r="B210" s="5"/>
    </row>
    <row r="211" spans="1:2" x14ac:dyDescent="0.3">
      <c r="A211" s="5"/>
      <c r="B211" s="5"/>
    </row>
    <row r="212" spans="1:2" x14ac:dyDescent="0.3">
      <c r="A212" s="5"/>
      <c r="B212" s="5"/>
    </row>
    <row r="213" spans="1:2" x14ac:dyDescent="0.3">
      <c r="A213" s="5"/>
      <c r="B213" s="5"/>
    </row>
    <row r="214" spans="1:2" x14ac:dyDescent="0.3">
      <c r="A214" s="5"/>
      <c r="B214" s="5"/>
    </row>
    <row r="215" spans="1:2" x14ac:dyDescent="0.3">
      <c r="A215" s="5"/>
      <c r="B215" s="5"/>
    </row>
    <row r="216" spans="1:2" x14ac:dyDescent="0.3">
      <c r="A216" s="5"/>
      <c r="B216" s="5"/>
    </row>
    <row r="217" spans="1:2" x14ac:dyDescent="0.3">
      <c r="A217" s="5"/>
      <c r="B217" s="5"/>
    </row>
    <row r="218" spans="1:2" x14ac:dyDescent="0.3">
      <c r="A218" s="5"/>
      <c r="B218" s="5"/>
    </row>
    <row r="219" spans="1:2" x14ac:dyDescent="0.3">
      <c r="A219" s="5"/>
      <c r="B219" s="5"/>
    </row>
    <row r="220" spans="1:2" x14ac:dyDescent="0.3">
      <c r="A220" s="5"/>
      <c r="B220" s="5"/>
    </row>
    <row r="221" spans="1:2" x14ac:dyDescent="0.3">
      <c r="A221" s="5"/>
      <c r="B221" s="5"/>
    </row>
    <row r="222" spans="1:2" x14ac:dyDescent="0.3">
      <c r="A222" s="5"/>
      <c r="B222" s="5"/>
    </row>
    <row r="223" spans="1:2" x14ac:dyDescent="0.3">
      <c r="A223" s="5"/>
      <c r="B223" s="5"/>
    </row>
    <row r="224" spans="1:2" x14ac:dyDescent="0.3">
      <c r="A224" s="5"/>
      <c r="B224" s="5"/>
    </row>
    <row r="225" spans="1:6" x14ac:dyDescent="0.3">
      <c r="A225" s="5"/>
      <c r="B225" s="5"/>
    </row>
    <row r="226" spans="1:6" x14ac:dyDescent="0.3">
      <c r="A226" s="5"/>
      <c r="B226" s="5"/>
    </row>
    <row r="227" spans="1:6" x14ac:dyDescent="0.3">
      <c r="A227" s="5"/>
      <c r="B227" s="5"/>
    </row>
    <row r="228" spans="1:6" x14ac:dyDescent="0.3">
      <c r="A228" s="5"/>
      <c r="B228" s="5"/>
      <c r="C228"/>
      <c r="D228"/>
      <c r="E228"/>
      <c r="F228"/>
    </row>
    <row r="229" spans="1:6" x14ac:dyDescent="0.3">
      <c r="A229" s="5"/>
      <c r="B229" s="5"/>
      <c r="C229"/>
      <c r="D229"/>
      <c r="E229"/>
      <c r="F229"/>
    </row>
    <row r="230" spans="1:6" x14ac:dyDescent="0.3">
      <c r="A230" s="5"/>
      <c r="B230" s="5"/>
      <c r="C230"/>
      <c r="D230"/>
      <c r="E230"/>
      <c r="F230"/>
    </row>
    <row r="231" spans="1:6" x14ac:dyDescent="0.3">
      <c r="A231" s="5"/>
      <c r="B231" s="5"/>
      <c r="C231"/>
      <c r="D231"/>
      <c r="E231"/>
      <c r="F231"/>
    </row>
  </sheetData>
  <mergeCells count="6">
    <mergeCell ref="A156:J156"/>
    <mergeCell ref="A1:J1"/>
    <mergeCell ref="A2:J2"/>
    <mergeCell ref="A61:J61"/>
    <mergeCell ref="A96:J96"/>
    <mergeCell ref="A97:J97"/>
  </mergeCells>
  <phoneticPr fontId="1" type="noConversion"/>
  <conditionalFormatting sqref="A4:B60">
    <cfRule type="duplicateValues" priority="7"/>
  </conditionalFormatting>
  <conditionalFormatting sqref="A62:B95">
    <cfRule type="duplicateValues" priority="8"/>
  </conditionalFormatting>
  <conditionalFormatting sqref="A99:B155">
    <cfRule type="duplicateValues" priority="6"/>
  </conditionalFormatting>
  <conditionalFormatting sqref="A179:B231">
    <cfRule type="duplicateValues" priority="9"/>
  </conditionalFormatting>
  <conditionalFormatting sqref="I4:I60 I62:I95">
    <cfRule type="duplicateValues" dxfId="4" priority="10"/>
  </conditionalFormatting>
  <conditionalFormatting sqref="J4:J60">
    <cfRule type="cellIs" dxfId="3" priority="4" operator="lessThan">
      <formula>60</formula>
    </cfRule>
  </conditionalFormatting>
  <conditionalFormatting sqref="J62:J95">
    <cfRule type="cellIs" dxfId="2" priority="3" operator="lessThan">
      <formula>60</formula>
    </cfRule>
  </conditionalFormatting>
  <conditionalFormatting sqref="J99:J155">
    <cfRule type="cellIs" dxfId="1" priority="5" operator="lessThan">
      <formula>60</formula>
    </cfRule>
  </conditionalFormatting>
  <conditionalFormatting sqref="J157:J190">
    <cfRule type="cellIs" dxfId="0" priority="1" operator="lessThan">
      <formula>60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01F52-0DE6-43AB-BDC1-C947CFE0E3EF}">
  <dimension ref="A1:M35"/>
  <sheetViews>
    <sheetView tabSelected="1" topLeftCell="B1" workbookViewId="0">
      <selection activeCell="K28" sqref="K28"/>
    </sheetView>
  </sheetViews>
  <sheetFormatPr defaultRowHeight="13.5" x14ac:dyDescent="0.3"/>
  <cols>
    <col min="1" max="1" width="45.796875" customWidth="1"/>
    <col min="2" max="2" width="54.73046875" customWidth="1"/>
    <col min="3" max="3" width="52.06640625" customWidth="1"/>
    <col min="4" max="4" width="48.1328125" customWidth="1"/>
    <col min="5" max="5" width="31.46484375" customWidth="1"/>
    <col min="6" max="6" width="15.59765625" customWidth="1"/>
  </cols>
  <sheetData>
    <row r="1" spans="1:13" ht="20.25" x14ac:dyDescent="0.3">
      <c r="A1" s="19" t="s">
        <v>222</v>
      </c>
      <c r="B1" s="20"/>
      <c r="C1" s="20"/>
      <c r="D1" s="20"/>
      <c r="E1" s="20"/>
    </row>
    <row r="2" spans="1:13" x14ac:dyDescent="0.3">
      <c r="A2" s="17" t="s">
        <v>225</v>
      </c>
      <c r="B2" s="17" t="s">
        <v>227</v>
      </c>
      <c r="C2" s="17" t="s">
        <v>229</v>
      </c>
      <c r="D2" s="17" t="s">
        <v>231</v>
      </c>
      <c r="E2" s="17" t="s">
        <v>233</v>
      </c>
      <c r="H2" s="18" t="s">
        <v>194</v>
      </c>
      <c r="I2" s="18" t="s">
        <v>193</v>
      </c>
      <c r="J2" s="18" t="s">
        <v>195</v>
      </c>
      <c r="K2" s="18" t="s">
        <v>196</v>
      </c>
      <c r="L2" s="18" t="s">
        <v>197</v>
      </c>
      <c r="M2" s="18" t="s">
        <v>198</v>
      </c>
    </row>
    <row r="3" spans="1:13" x14ac:dyDescent="0.3">
      <c r="A3" s="12" t="s">
        <v>59</v>
      </c>
      <c r="B3" s="12" t="s">
        <v>188</v>
      </c>
      <c r="C3" s="12" t="s">
        <v>189</v>
      </c>
      <c r="D3" s="12" t="s">
        <v>86</v>
      </c>
      <c r="E3" s="12" t="s">
        <v>87</v>
      </c>
      <c r="F3" s="12" t="s">
        <v>199</v>
      </c>
      <c r="G3" s="12" t="s">
        <v>191</v>
      </c>
      <c r="H3">
        <v>2438.14</v>
      </c>
      <c r="I3">
        <v>2656.74</v>
      </c>
      <c r="J3">
        <v>2882.25</v>
      </c>
      <c r="K3">
        <v>1260.6099999999999</v>
      </c>
      <c r="L3">
        <v>1287.04</v>
      </c>
      <c r="M3">
        <v>1315.11</v>
      </c>
    </row>
    <row r="4" spans="1:13" x14ac:dyDescent="0.3">
      <c r="A4" s="12" t="s">
        <v>60</v>
      </c>
      <c r="B4" s="12" t="s">
        <v>201</v>
      </c>
      <c r="C4" s="12" t="s">
        <v>209</v>
      </c>
      <c r="D4" s="12" t="s">
        <v>61</v>
      </c>
      <c r="E4" s="12" t="s">
        <v>216</v>
      </c>
      <c r="H4">
        <v>1389.7</v>
      </c>
      <c r="I4">
        <v>1406.45</v>
      </c>
      <c r="J4">
        <v>1443.49</v>
      </c>
      <c r="K4">
        <v>913.14</v>
      </c>
      <c r="L4">
        <v>913.8</v>
      </c>
      <c r="M4">
        <v>918.73</v>
      </c>
    </row>
    <row r="5" spans="1:13" x14ac:dyDescent="0.3">
      <c r="A5" s="12"/>
      <c r="B5" s="12"/>
      <c r="C5" s="12"/>
      <c r="D5" s="12"/>
      <c r="E5" s="12"/>
      <c r="G5" s="12" t="s">
        <v>192</v>
      </c>
      <c r="H5">
        <v>1954.06</v>
      </c>
      <c r="I5">
        <v>2119.17</v>
      </c>
      <c r="J5">
        <v>2247.09</v>
      </c>
      <c r="K5">
        <v>1157.5</v>
      </c>
      <c r="L5">
        <v>1201.44</v>
      </c>
      <c r="M5">
        <v>1267.5899999999999</v>
      </c>
    </row>
    <row r="6" spans="1:13" x14ac:dyDescent="0.3">
      <c r="A6" s="12" t="s">
        <v>62</v>
      </c>
      <c r="B6" s="12" t="s">
        <v>78</v>
      </c>
      <c r="C6" s="12" t="s">
        <v>79</v>
      </c>
      <c r="D6" s="12" t="s">
        <v>80</v>
      </c>
      <c r="E6" s="12" t="s">
        <v>81</v>
      </c>
      <c r="H6">
        <v>1134.9100000000001</v>
      </c>
      <c r="I6">
        <v>1133.23</v>
      </c>
      <c r="J6">
        <v>1169.32</v>
      </c>
      <c r="K6">
        <v>805.21</v>
      </c>
      <c r="L6">
        <v>816.15</v>
      </c>
      <c r="M6">
        <v>881.11</v>
      </c>
    </row>
    <row r="7" spans="1:13" x14ac:dyDescent="0.3">
      <c r="A7" s="12" t="s">
        <v>63</v>
      </c>
      <c r="B7" s="12" t="s">
        <v>82</v>
      </c>
      <c r="C7" s="12" t="s">
        <v>83</v>
      </c>
      <c r="D7" s="12" t="s">
        <v>84</v>
      </c>
      <c r="E7" s="12" t="s">
        <v>85</v>
      </c>
    </row>
    <row r="8" spans="1:13" x14ac:dyDescent="0.3">
      <c r="A8" s="12"/>
      <c r="B8" s="12"/>
      <c r="C8" s="12"/>
      <c r="D8" s="12"/>
      <c r="E8" s="12"/>
      <c r="I8">
        <v>331.54</v>
      </c>
      <c r="J8">
        <v>85.84</v>
      </c>
    </row>
    <row r="9" spans="1:13" x14ac:dyDescent="0.3">
      <c r="A9" s="12" t="s">
        <v>64</v>
      </c>
      <c r="B9" s="12" t="s">
        <v>200</v>
      </c>
      <c r="C9" s="12" t="s">
        <v>207</v>
      </c>
      <c r="D9" s="12" t="s">
        <v>65</v>
      </c>
      <c r="E9" s="12" t="s">
        <v>217</v>
      </c>
      <c r="J9">
        <v>248.29</v>
      </c>
      <c r="K9">
        <v>11.8</v>
      </c>
    </row>
    <row r="10" spans="1:13" x14ac:dyDescent="0.3">
      <c r="A10" s="16" t="s">
        <v>66</v>
      </c>
      <c r="B10" s="16" t="s">
        <v>202</v>
      </c>
      <c r="C10" s="16" t="s">
        <v>210</v>
      </c>
      <c r="D10" s="16" t="s">
        <v>67</v>
      </c>
      <c r="E10" s="16" t="s">
        <v>218</v>
      </c>
    </row>
    <row r="11" spans="1:13" ht="20.25" x14ac:dyDescent="0.3">
      <c r="A11" s="19" t="s">
        <v>223</v>
      </c>
      <c r="B11" s="20"/>
      <c r="C11" s="20"/>
      <c r="D11" s="20"/>
      <c r="E11" s="20"/>
      <c r="F11" t="s">
        <v>206</v>
      </c>
      <c r="H11">
        <v>9.6199999999999992</v>
      </c>
      <c r="I11">
        <v>10.08</v>
      </c>
      <c r="J11">
        <v>10.37</v>
      </c>
      <c r="K11">
        <v>8.33</v>
      </c>
      <c r="L11">
        <v>8.4600000000000009</v>
      </c>
      <c r="M11">
        <v>8.74</v>
      </c>
    </row>
    <row r="12" spans="1:13" x14ac:dyDescent="0.3">
      <c r="A12" s="17" t="s">
        <v>224</v>
      </c>
      <c r="B12" s="17" t="s">
        <v>226</v>
      </c>
      <c r="C12" s="17" t="s">
        <v>228</v>
      </c>
      <c r="D12" s="17" t="s">
        <v>230</v>
      </c>
      <c r="E12" s="17" t="s">
        <v>232</v>
      </c>
      <c r="H12">
        <v>4.41</v>
      </c>
      <c r="I12">
        <v>4.59</v>
      </c>
      <c r="J12">
        <v>4.49</v>
      </c>
      <c r="K12">
        <v>3.91</v>
      </c>
      <c r="L12">
        <v>3.98</v>
      </c>
      <c r="M12">
        <v>4.16</v>
      </c>
    </row>
    <row r="13" spans="1:13" x14ac:dyDescent="0.3">
      <c r="A13" s="12" t="s">
        <v>59</v>
      </c>
      <c r="B13" s="12" t="s">
        <v>190</v>
      </c>
      <c r="C13" s="12" t="s">
        <v>208</v>
      </c>
      <c r="D13" s="12" t="s">
        <v>88</v>
      </c>
      <c r="E13" s="12" t="s">
        <v>89</v>
      </c>
      <c r="H13">
        <v>8.99</v>
      </c>
      <c r="I13">
        <v>9.35</v>
      </c>
      <c r="J13">
        <v>9.8000000000000007</v>
      </c>
      <c r="K13">
        <v>9.11</v>
      </c>
      <c r="L13">
        <v>9.58</v>
      </c>
      <c r="M13">
        <v>9.89</v>
      </c>
    </row>
    <row r="14" spans="1:13" x14ac:dyDescent="0.3">
      <c r="A14" s="12" t="s">
        <v>60</v>
      </c>
      <c r="B14" s="12" t="s">
        <v>204</v>
      </c>
      <c r="C14" s="12" t="s">
        <v>211</v>
      </c>
      <c r="D14" s="12" t="s">
        <v>215</v>
      </c>
      <c r="E14" s="12" t="s">
        <v>219</v>
      </c>
      <c r="H14">
        <v>2.7</v>
      </c>
      <c r="I14">
        <v>2.97</v>
      </c>
      <c r="J14">
        <v>2.74</v>
      </c>
      <c r="K14">
        <v>1.54</v>
      </c>
      <c r="L14">
        <v>1.65</v>
      </c>
      <c r="M14">
        <v>1.92</v>
      </c>
    </row>
    <row r="15" spans="1:13" x14ac:dyDescent="0.3">
      <c r="A15" s="12"/>
      <c r="B15" s="12"/>
      <c r="C15" s="12"/>
      <c r="D15" s="12"/>
      <c r="E15" s="12"/>
      <c r="F15" t="s">
        <v>214</v>
      </c>
      <c r="H15">
        <v>57.19</v>
      </c>
      <c r="I15">
        <v>85.84</v>
      </c>
      <c r="J15">
        <v>63.79</v>
      </c>
      <c r="K15">
        <v>82.41</v>
      </c>
      <c r="L15">
        <v>85.84</v>
      </c>
      <c r="M15">
        <v>88.55</v>
      </c>
    </row>
    <row r="16" spans="1:13" x14ac:dyDescent="0.3">
      <c r="A16" s="12" t="s">
        <v>62</v>
      </c>
      <c r="B16" s="12" t="s">
        <v>70</v>
      </c>
      <c r="C16" s="12" t="s">
        <v>72</v>
      </c>
      <c r="D16" s="12" t="s">
        <v>73</v>
      </c>
      <c r="E16" s="12" t="s">
        <v>74</v>
      </c>
      <c r="H16">
        <v>21.1</v>
      </c>
      <c r="I16">
        <v>11.8</v>
      </c>
      <c r="J16">
        <v>21.48</v>
      </c>
      <c r="K16">
        <v>14.72</v>
      </c>
      <c r="L16">
        <v>11.8</v>
      </c>
      <c r="M16">
        <v>10.52</v>
      </c>
    </row>
    <row r="17" spans="1:13" x14ac:dyDescent="0.3">
      <c r="A17" s="12" t="s">
        <v>63</v>
      </c>
      <c r="B17" s="12" t="s">
        <v>71</v>
      </c>
      <c r="C17" s="12" t="s">
        <v>75</v>
      </c>
      <c r="D17" s="12" t="s">
        <v>76</v>
      </c>
      <c r="E17" s="12" t="s">
        <v>77</v>
      </c>
      <c r="H17">
        <v>54.49</v>
      </c>
      <c r="I17">
        <v>57.59</v>
      </c>
      <c r="J17">
        <v>59.9</v>
      </c>
      <c r="K17">
        <v>67.16</v>
      </c>
      <c r="L17">
        <v>72.59</v>
      </c>
      <c r="M17">
        <v>75.69</v>
      </c>
    </row>
    <row r="18" spans="1:13" x14ac:dyDescent="0.3">
      <c r="A18" s="12"/>
      <c r="B18" s="12"/>
      <c r="C18" s="12"/>
      <c r="D18" s="12"/>
      <c r="E18" s="12"/>
      <c r="H18">
        <v>28.41</v>
      </c>
      <c r="I18">
        <v>28.88</v>
      </c>
      <c r="J18">
        <v>28.47</v>
      </c>
      <c r="K18">
        <v>20.170000000000002</v>
      </c>
      <c r="L18">
        <v>19.82</v>
      </c>
      <c r="M18">
        <v>18.690000000000001</v>
      </c>
    </row>
    <row r="19" spans="1:13" x14ac:dyDescent="0.3">
      <c r="A19" s="12" t="s">
        <v>64</v>
      </c>
      <c r="B19" s="12" t="s">
        <v>203</v>
      </c>
      <c r="C19" s="12" t="s">
        <v>212</v>
      </c>
      <c r="D19" s="12" t="s">
        <v>68</v>
      </c>
      <c r="E19" s="12" t="s">
        <v>220</v>
      </c>
    </row>
    <row r="20" spans="1:13" x14ac:dyDescent="0.3">
      <c r="A20" s="16" t="s">
        <v>66</v>
      </c>
      <c r="B20" s="16" t="s">
        <v>205</v>
      </c>
      <c r="C20" s="16" t="s">
        <v>213</v>
      </c>
      <c r="D20" s="16" t="s">
        <v>69</v>
      </c>
      <c r="E20" s="16" t="s">
        <v>221</v>
      </c>
    </row>
    <row r="24" spans="1:13" ht="30" customHeight="1" x14ac:dyDescent="0.3"/>
    <row r="25" spans="1:13" ht="16.05" customHeight="1" x14ac:dyDescent="0.3"/>
    <row r="26" spans="1:13" ht="16.05" customHeight="1" x14ac:dyDescent="0.3"/>
    <row r="27" spans="1:13" ht="16.05" customHeight="1" x14ac:dyDescent="0.3"/>
    <row r="28" spans="1:13" ht="25.5" customHeight="1" x14ac:dyDescent="0.3"/>
    <row r="30" spans="1:13" s="1" customFormat="1" ht="22.5" customHeight="1" x14ac:dyDescent="0.3">
      <c r="A30"/>
      <c r="B30"/>
      <c r="C30"/>
      <c r="D30"/>
      <c r="E30"/>
      <c r="F30"/>
      <c r="G30"/>
    </row>
    <row r="31" spans="1:13" ht="15" customHeight="1" x14ac:dyDescent="0.3"/>
    <row r="32" spans="1:13" ht="15" customHeight="1" x14ac:dyDescent="0.3"/>
    <row r="33" ht="15" customHeight="1" x14ac:dyDescent="0.3"/>
    <row r="34" ht="15" customHeight="1" x14ac:dyDescent="0.3"/>
    <row r="35" ht="15" customHeight="1" x14ac:dyDescent="0.3"/>
  </sheetData>
  <mergeCells count="2">
    <mergeCell ref="A1:E1"/>
    <mergeCell ref="A11:E11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Baseline Fat Mass Results</vt:lpstr>
      <vt:lpstr>High Fat Mass Result</vt:lpstr>
      <vt:lpstr>Low Fat Mass Results</vt:lpstr>
      <vt:lpstr>Statistics of Mean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Kenton Chen</cp:lastModifiedBy>
  <dcterms:created xsi:type="dcterms:W3CDTF">2026-03-24T13:46:27Z</dcterms:created>
  <dcterms:modified xsi:type="dcterms:W3CDTF">2026-06-13T12:28:36Z</dcterms:modified>
</cp:coreProperties>
</file>