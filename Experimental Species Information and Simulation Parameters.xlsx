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b8bf9c4d3dca6f/Desktop/"/>
    </mc:Choice>
  </mc:AlternateContent>
  <xr:revisionPtr revIDLastSave="7" documentId="8_{1DF8AAAB-5E6A-40FC-AA5C-5ED483197A8A}" xr6:coauthVersionLast="47" xr6:coauthVersionMax="47" xr10:uidLastSave="{1036EFFD-FAA3-4E38-A091-9C3475A6F542}"/>
  <bookViews>
    <workbookView xWindow="-98" yWindow="-98" windowWidth="38596" windowHeight="15675" xr2:uid="{00000000-000D-0000-FFFF-FFFF00000000}"/>
  </bookViews>
  <sheets>
    <sheet name="Information on Ichthyos" sheetId="25" r:id="rId1"/>
    <sheet name="Projected positions of Ichthyos" sheetId="18" r:id="rId2"/>
    <sheet name="Information on Placodontia" sheetId="26" r:id="rId3"/>
    <sheet name="Projected positions of Placoder" sheetId="17" r:id="rId4"/>
    <sheet name="Species distribution" sheetId="28" r:id="rId5"/>
    <sheet name="Statistical speeds " sheetId="1" r:id="rId6"/>
    <sheet name="Statistical distribution inform" sheetId="19" r:id="rId7"/>
    <sheet name="Statistical regression line" sheetId="27" r:id="rId8"/>
    <sheet name="Input Parameters for Simulatio 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4" l="1"/>
  <c r="L67" i="1"/>
  <c r="L68" i="1"/>
  <c r="L69" i="1"/>
  <c r="L70" i="1"/>
  <c r="L71" i="1"/>
  <c r="L72" i="1"/>
  <c r="L73" i="1"/>
  <c r="L74" i="1"/>
  <c r="L75" i="1"/>
  <c r="L6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8" i="1"/>
  <c r="G69" i="1"/>
  <c r="G70" i="1"/>
  <c r="G71" i="1"/>
  <c r="G66" i="1"/>
  <c r="G67" i="1"/>
  <c r="G75" i="1" l="1"/>
  <c r="G74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8" i="1"/>
  <c r="G72" i="1"/>
  <c r="G73" i="1"/>
  <c r="G8" i="1"/>
  <c r="M4" i="1"/>
  <c r="H54" i="1" s="1"/>
  <c r="M3" i="1"/>
  <c r="K4" i="1"/>
  <c r="K3" i="1"/>
  <c r="K52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53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H69" i="1" l="1"/>
  <c r="I69" i="1" s="1"/>
  <c r="H70" i="1"/>
  <c r="I70" i="1" s="1"/>
  <c r="J70" i="1" s="1"/>
  <c r="K70" i="1" s="1"/>
  <c r="M70" i="1" s="1"/>
  <c r="H71" i="1"/>
  <c r="I71" i="1" s="1"/>
  <c r="J71" i="1" s="1"/>
  <c r="K71" i="1" s="1"/>
  <c r="M71" i="1" s="1"/>
  <c r="H9" i="1"/>
  <c r="I9" i="1" s="1"/>
  <c r="J9" i="1" s="1"/>
  <c r="K9" i="1" s="1"/>
  <c r="M9" i="1" s="1"/>
  <c r="H66" i="1"/>
  <c r="I66" i="1" s="1"/>
  <c r="J66" i="1" s="1"/>
  <c r="K66" i="1" s="1"/>
  <c r="M66" i="1" s="1"/>
  <c r="H67" i="1"/>
  <c r="I67" i="1" s="1"/>
  <c r="J67" i="1" s="1"/>
  <c r="K67" i="1" s="1"/>
  <c r="M67" i="1" s="1"/>
  <c r="H75" i="1"/>
  <c r="I75" i="1" s="1"/>
  <c r="H74" i="1"/>
  <c r="I74" i="1" s="1"/>
  <c r="J74" i="1" s="1"/>
  <c r="K74" i="1" s="1"/>
  <c r="M74" i="1" s="1"/>
  <c r="I54" i="1"/>
  <c r="J54" i="1" s="1"/>
  <c r="K54" i="1" s="1"/>
  <c r="M54" i="1" s="1"/>
  <c r="H38" i="1"/>
  <c r="I38" i="1" s="1"/>
  <c r="J38" i="1" s="1"/>
  <c r="K38" i="1" s="1"/>
  <c r="M38" i="1" s="1"/>
  <c r="H31" i="1"/>
  <c r="I31" i="1" s="1"/>
  <c r="J31" i="1" s="1"/>
  <c r="K31" i="1" s="1"/>
  <c r="M31" i="1" s="1"/>
  <c r="H30" i="1"/>
  <c r="I30" i="1" s="1"/>
  <c r="J30" i="1" s="1"/>
  <c r="K30" i="1" s="1"/>
  <c r="M30" i="1" s="1"/>
  <c r="H27" i="1"/>
  <c r="I27" i="1" s="1"/>
  <c r="J27" i="1" s="1"/>
  <c r="K27" i="1" s="1"/>
  <c r="M27" i="1" s="1"/>
  <c r="H26" i="1"/>
  <c r="I26" i="1" s="1"/>
  <c r="J26" i="1" s="1"/>
  <c r="K26" i="1" s="1"/>
  <c r="M26" i="1" s="1"/>
  <c r="H19" i="1"/>
  <c r="I19" i="1" s="1"/>
  <c r="J19" i="1" s="1"/>
  <c r="K19" i="1" s="1"/>
  <c r="M19" i="1" s="1"/>
  <c r="H18" i="1"/>
  <c r="I18" i="1" s="1"/>
  <c r="J18" i="1" s="1"/>
  <c r="K18" i="1" s="1"/>
  <c r="M18" i="1" s="1"/>
  <c r="H50" i="1"/>
  <c r="I50" i="1" s="1"/>
  <c r="J50" i="1" s="1"/>
  <c r="K50" i="1" s="1"/>
  <c r="M50" i="1" s="1"/>
  <c r="H15" i="1"/>
  <c r="I15" i="1" s="1"/>
  <c r="J15" i="1" s="1"/>
  <c r="K15" i="1" s="1"/>
  <c r="M15" i="1" s="1"/>
  <c r="H45" i="1"/>
  <c r="I45" i="1" s="1"/>
  <c r="J45" i="1" s="1"/>
  <c r="K45" i="1" s="1"/>
  <c r="M45" i="1" s="1"/>
  <c r="H14" i="1"/>
  <c r="I14" i="1" s="1"/>
  <c r="J14" i="1" s="1"/>
  <c r="K14" i="1" s="1"/>
  <c r="M14" i="1" s="1"/>
  <c r="H43" i="1"/>
  <c r="I43" i="1" s="1"/>
  <c r="J43" i="1" s="1"/>
  <c r="K43" i="1" s="1"/>
  <c r="M43" i="1" s="1"/>
  <c r="H64" i="1"/>
  <c r="I64" i="1" s="1"/>
  <c r="J64" i="1" s="1"/>
  <c r="H42" i="1"/>
  <c r="I42" i="1" s="1"/>
  <c r="J42" i="1" s="1"/>
  <c r="K42" i="1" s="1"/>
  <c r="M42" i="1" s="1"/>
  <c r="H60" i="1"/>
  <c r="I60" i="1" s="1"/>
  <c r="J60" i="1" s="1"/>
  <c r="K60" i="1" s="1"/>
  <c r="M60" i="1" s="1"/>
  <c r="H39" i="1"/>
  <c r="I39" i="1" s="1"/>
  <c r="J39" i="1" s="1"/>
  <c r="K39" i="1" s="1"/>
  <c r="M39" i="1" s="1"/>
  <c r="H52" i="1"/>
  <c r="I52" i="1" s="1"/>
  <c r="J52" i="1" s="1"/>
  <c r="K52" i="1" s="1"/>
  <c r="M52" i="1" s="1"/>
  <c r="H44" i="1"/>
  <c r="I44" i="1" s="1"/>
  <c r="J44" i="1" s="1"/>
  <c r="K44" i="1" s="1"/>
  <c r="M44" i="1" s="1"/>
  <c r="H32" i="1"/>
  <c r="I32" i="1" s="1"/>
  <c r="J32" i="1" s="1"/>
  <c r="K32" i="1" s="1"/>
  <c r="M32" i="1" s="1"/>
  <c r="H20" i="1"/>
  <c r="I20" i="1" s="1"/>
  <c r="J20" i="1" s="1"/>
  <c r="K20" i="1" s="1"/>
  <c r="M20" i="1" s="1"/>
  <c r="H51" i="1"/>
  <c r="I51" i="1" s="1"/>
  <c r="J51" i="1" s="1"/>
  <c r="K51" i="1" s="1"/>
  <c r="M51" i="1" s="1"/>
  <c r="H53" i="1"/>
  <c r="I53" i="1" s="1"/>
  <c r="J53" i="1" s="1"/>
  <c r="K53" i="1" s="1"/>
  <c r="M53" i="1" s="1"/>
  <c r="H63" i="1"/>
  <c r="I63" i="1" s="1"/>
  <c r="J63" i="1" s="1"/>
  <c r="K63" i="1" s="1"/>
  <c r="M63" i="1" s="1"/>
  <c r="H68" i="1"/>
  <c r="I68" i="1" s="1"/>
  <c r="J68" i="1" s="1"/>
  <c r="K68" i="1" s="1"/>
  <c r="M68" i="1" s="1"/>
  <c r="H41" i="1"/>
  <c r="I41" i="1" s="1"/>
  <c r="J41" i="1" s="1"/>
  <c r="K41" i="1" s="1"/>
  <c r="M41" i="1" s="1"/>
  <c r="H29" i="1"/>
  <c r="I29" i="1" s="1"/>
  <c r="J29" i="1" s="1"/>
  <c r="K29" i="1" s="1"/>
  <c r="M29" i="1" s="1"/>
  <c r="H17" i="1"/>
  <c r="I17" i="1" s="1"/>
  <c r="J17" i="1" s="1"/>
  <c r="K17" i="1" s="1"/>
  <c r="M17" i="1" s="1"/>
  <c r="H62" i="1"/>
  <c r="I62" i="1" s="1"/>
  <c r="J62" i="1" s="1"/>
  <c r="K62" i="1" s="1"/>
  <c r="M62" i="1" s="1"/>
  <c r="H40" i="1"/>
  <c r="I40" i="1" s="1"/>
  <c r="J40" i="1" s="1"/>
  <c r="K40" i="1" s="1"/>
  <c r="M40" i="1" s="1"/>
  <c r="H28" i="1"/>
  <c r="I28" i="1" s="1"/>
  <c r="J28" i="1" s="1"/>
  <c r="K28" i="1" s="1"/>
  <c r="M28" i="1" s="1"/>
  <c r="H16" i="1"/>
  <c r="I16" i="1" s="1"/>
  <c r="J16" i="1" s="1"/>
  <c r="K16" i="1" s="1"/>
  <c r="M16" i="1" s="1"/>
  <c r="H61" i="1"/>
  <c r="I61" i="1" s="1"/>
  <c r="J61" i="1" s="1"/>
  <c r="K61" i="1" s="1"/>
  <c r="M61" i="1" s="1"/>
  <c r="H59" i="1"/>
  <c r="I59" i="1" s="1"/>
  <c r="J59" i="1" s="1"/>
  <c r="K59" i="1" s="1"/>
  <c r="M59" i="1" s="1"/>
  <c r="H8" i="1"/>
  <c r="I8" i="1" s="1"/>
  <c r="J8" i="1" s="1"/>
  <c r="K8" i="1" s="1"/>
  <c r="M8" i="1" s="1"/>
  <c r="H49" i="1"/>
  <c r="I49" i="1" s="1"/>
  <c r="J49" i="1" s="1"/>
  <c r="K49" i="1" s="1"/>
  <c r="M49" i="1" s="1"/>
  <c r="H37" i="1"/>
  <c r="I37" i="1" s="1"/>
  <c r="J37" i="1" s="1"/>
  <c r="K37" i="1" s="1"/>
  <c r="M37" i="1" s="1"/>
  <c r="H25" i="1"/>
  <c r="I25" i="1" s="1"/>
  <c r="J25" i="1" s="1"/>
  <c r="K25" i="1" s="1"/>
  <c r="M25" i="1" s="1"/>
  <c r="H13" i="1"/>
  <c r="I13" i="1" s="1"/>
  <c r="J13" i="1" s="1"/>
  <c r="K13" i="1" s="1"/>
  <c r="M13" i="1" s="1"/>
  <c r="H58" i="1"/>
  <c r="I58" i="1" s="1"/>
  <c r="J58" i="1" s="1"/>
  <c r="K58" i="1" s="1"/>
  <c r="M58" i="1" s="1"/>
  <c r="H73" i="1"/>
  <c r="I73" i="1" s="1"/>
  <c r="J73" i="1" s="1"/>
  <c r="K73" i="1" s="1"/>
  <c r="M73" i="1" s="1"/>
  <c r="H48" i="1"/>
  <c r="I48" i="1" s="1"/>
  <c r="J48" i="1" s="1"/>
  <c r="K48" i="1" s="1"/>
  <c r="M48" i="1" s="1"/>
  <c r="H36" i="1"/>
  <c r="I36" i="1" s="1"/>
  <c r="J36" i="1" s="1"/>
  <c r="K36" i="1" s="1"/>
  <c r="M36" i="1" s="1"/>
  <c r="H24" i="1"/>
  <c r="I24" i="1" s="1"/>
  <c r="J24" i="1" s="1"/>
  <c r="K24" i="1" s="1"/>
  <c r="M24" i="1" s="1"/>
  <c r="H12" i="1"/>
  <c r="I12" i="1" s="1"/>
  <c r="J12" i="1" s="1"/>
  <c r="K12" i="1" s="1"/>
  <c r="M12" i="1" s="1"/>
  <c r="H57" i="1"/>
  <c r="I57" i="1" s="1"/>
  <c r="J57" i="1" s="1"/>
  <c r="K57" i="1" s="1"/>
  <c r="M57" i="1" s="1"/>
  <c r="H72" i="1"/>
  <c r="I72" i="1" s="1"/>
  <c r="J72" i="1" s="1"/>
  <c r="K72" i="1" s="1"/>
  <c r="M72" i="1" s="1"/>
  <c r="H47" i="1"/>
  <c r="I47" i="1" s="1"/>
  <c r="J47" i="1" s="1"/>
  <c r="K47" i="1" s="1"/>
  <c r="M47" i="1" s="1"/>
  <c r="H35" i="1"/>
  <c r="I35" i="1" s="1"/>
  <c r="J35" i="1" s="1"/>
  <c r="K35" i="1" s="1"/>
  <c r="M35" i="1" s="1"/>
  <c r="H23" i="1"/>
  <c r="I23" i="1" s="1"/>
  <c r="J23" i="1" s="1"/>
  <c r="K23" i="1" s="1"/>
  <c r="M23" i="1" s="1"/>
  <c r="H11" i="1"/>
  <c r="I11" i="1" s="1"/>
  <c r="J11" i="1" s="1"/>
  <c r="K11" i="1" s="1"/>
  <c r="M11" i="1" s="1"/>
  <c r="H56" i="1"/>
  <c r="I56" i="1" s="1"/>
  <c r="J56" i="1" s="1"/>
  <c r="K56" i="1" s="1"/>
  <c r="M56" i="1" s="1"/>
  <c r="H46" i="1"/>
  <c r="I46" i="1" s="1"/>
  <c r="J46" i="1" s="1"/>
  <c r="K46" i="1" s="1"/>
  <c r="M46" i="1" s="1"/>
  <c r="H34" i="1"/>
  <c r="I34" i="1" s="1"/>
  <c r="J34" i="1" s="1"/>
  <c r="K34" i="1" s="1"/>
  <c r="M34" i="1" s="1"/>
  <c r="H22" i="1"/>
  <c r="I22" i="1" s="1"/>
  <c r="J22" i="1" s="1"/>
  <c r="K22" i="1" s="1"/>
  <c r="M22" i="1" s="1"/>
  <c r="H10" i="1"/>
  <c r="I10" i="1" s="1"/>
  <c r="J10" i="1" s="1"/>
  <c r="K10" i="1" s="1"/>
  <c r="M10" i="1" s="1"/>
  <c r="H55" i="1"/>
  <c r="I55" i="1" s="1"/>
  <c r="J55" i="1" s="1"/>
  <c r="K55" i="1" s="1"/>
  <c r="M55" i="1" s="1"/>
  <c r="H33" i="1"/>
  <c r="I33" i="1" s="1"/>
  <c r="J33" i="1" s="1"/>
  <c r="K33" i="1" s="1"/>
  <c r="M33" i="1" s="1"/>
  <c r="H21" i="1"/>
  <c r="I21" i="1" s="1"/>
  <c r="J21" i="1" s="1"/>
  <c r="K21" i="1" s="1"/>
  <c r="M21" i="1" s="1"/>
  <c r="H59" i="14"/>
  <c r="I59" i="14" s="1"/>
  <c r="J59" i="14" s="1"/>
  <c r="D52" i="14"/>
  <c r="P52" i="14" s="1"/>
  <c r="D53" i="14"/>
  <c r="P53" i="14" s="1"/>
  <c r="D54" i="14"/>
  <c r="P54" i="14" s="1"/>
  <c r="D55" i="14"/>
  <c r="P55" i="14" s="1"/>
  <c r="D56" i="14"/>
  <c r="P56" i="14" s="1"/>
  <c r="D57" i="14"/>
  <c r="P57" i="14" s="1"/>
  <c r="D58" i="14"/>
  <c r="P58" i="14" s="1"/>
  <c r="D59" i="14"/>
  <c r="P59" i="14" s="1"/>
  <c r="D60" i="14"/>
  <c r="P60" i="14" s="1"/>
  <c r="D61" i="14"/>
  <c r="P61" i="14" s="1"/>
  <c r="D62" i="14"/>
  <c r="P62" i="14" s="1"/>
  <c r="D63" i="14"/>
  <c r="P63" i="14" s="1"/>
  <c r="D64" i="14"/>
  <c r="H64" i="14" s="1"/>
  <c r="I64" i="14" s="1"/>
  <c r="J64" i="14" s="1"/>
  <c r="D65" i="14"/>
  <c r="P65" i="14" s="1"/>
  <c r="D66" i="14"/>
  <c r="P66" i="14" s="1"/>
  <c r="D67" i="14"/>
  <c r="P67" i="14" s="1"/>
  <c r="D68" i="14"/>
  <c r="P68" i="14" s="1"/>
  <c r="D50" i="14"/>
  <c r="H50" i="14" s="1"/>
  <c r="I50" i="14" s="1"/>
  <c r="J50" i="14" s="1"/>
  <c r="D12" i="14"/>
  <c r="H12" i="14" s="1"/>
  <c r="I12" i="14" s="1"/>
  <c r="J12" i="14" s="1"/>
  <c r="D13" i="14"/>
  <c r="H13" i="14" s="1"/>
  <c r="I13" i="14" s="1"/>
  <c r="J13" i="14" s="1"/>
  <c r="D14" i="14"/>
  <c r="H14" i="14" s="1"/>
  <c r="I14" i="14" s="1"/>
  <c r="J14" i="14" s="1"/>
  <c r="D15" i="14"/>
  <c r="H15" i="14" s="1"/>
  <c r="I15" i="14" s="1"/>
  <c r="J15" i="14" s="1"/>
  <c r="D16" i="14"/>
  <c r="D17" i="14"/>
  <c r="D18" i="14"/>
  <c r="D19" i="14"/>
  <c r="H19" i="14" s="1"/>
  <c r="I19" i="14" s="1"/>
  <c r="J19" i="14" s="1"/>
  <c r="D20" i="14"/>
  <c r="D21" i="14"/>
  <c r="D22" i="14"/>
  <c r="H22" i="14" s="1"/>
  <c r="I22" i="14" s="1"/>
  <c r="J22" i="14" s="1"/>
  <c r="D23" i="14"/>
  <c r="D24" i="14"/>
  <c r="H24" i="14" s="1"/>
  <c r="I24" i="14" s="1"/>
  <c r="J24" i="14" s="1"/>
  <c r="D25" i="14"/>
  <c r="H25" i="14" s="1"/>
  <c r="I25" i="14" s="1"/>
  <c r="J25" i="14" s="1"/>
  <c r="D26" i="14"/>
  <c r="H26" i="14" s="1"/>
  <c r="I26" i="14" s="1"/>
  <c r="J26" i="14" s="1"/>
  <c r="D27" i="14"/>
  <c r="H27" i="14" s="1"/>
  <c r="I27" i="14" s="1"/>
  <c r="J27" i="14" s="1"/>
  <c r="D28" i="14"/>
  <c r="D29" i="14"/>
  <c r="D30" i="14"/>
  <c r="H30" i="14" s="1"/>
  <c r="I30" i="14" s="1"/>
  <c r="J30" i="14" s="1"/>
  <c r="D31" i="14"/>
  <c r="D32" i="14"/>
  <c r="D33" i="14"/>
  <c r="D34" i="14"/>
  <c r="H34" i="14" s="1"/>
  <c r="I34" i="14" s="1"/>
  <c r="J34" i="14" s="1"/>
  <c r="D35" i="14"/>
  <c r="D36" i="14"/>
  <c r="H36" i="14" s="1"/>
  <c r="I36" i="14" s="1"/>
  <c r="J36" i="14" s="1"/>
  <c r="D37" i="14"/>
  <c r="H37" i="14" s="1"/>
  <c r="I37" i="14" s="1"/>
  <c r="J37" i="14" s="1"/>
  <c r="D38" i="14"/>
  <c r="H38" i="14" s="1"/>
  <c r="I38" i="14" s="1"/>
  <c r="J38" i="14" s="1"/>
  <c r="D39" i="14"/>
  <c r="H39" i="14" s="1"/>
  <c r="I39" i="14" s="1"/>
  <c r="J39" i="14" s="1"/>
  <c r="D40" i="14"/>
  <c r="D41" i="14"/>
  <c r="D42" i="14"/>
  <c r="D43" i="14"/>
  <c r="H43" i="14" s="1"/>
  <c r="I43" i="14" s="1"/>
  <c r="J43" i="14" s="1"/>
  <c r="D44" i="14"/>
  <c r="D45" i="14"/>
  <c r="D46" i="14"/>
  <c r="D47" i="14"/>
  <c r="D48" i="14"/>
  <c r="H48" i="14" s="1"/>
  <c r="I48" i="14" s="1"/>
  <c r="J48" i="14" s="1"/>
  <c r="D49" i="14"/>
  <c r="H49" i="14" s="1"/>
  <c r="I49" i="14" s="1"/>
  <c r="J49" i="14" s="1"/>
  <c r="H52" i="14" l="1"/>
  <c r="I52" i="14" s="1"/>
  <c r="J52" i="14" s="1"/>
  <c r="H58" i="14"/>
  <c r="I58" i="14" s="1"/>
  <c r="J58" i="14" s="1"/>
  <c r="H63" i="14"/>
  <c r="I63" i="14" s="1"/>
  <c r="J63" i="14" s="1"/>
  <c r="L64" i="14"/>
  <c r="P64" i="14"/>
  <c r="H62" i="14"/>
  <c r="I62" i="14" s="1"/>
  <c r="J62" i="14" s="1"/>
  <c r="H61" i="14"/>
  <c r="I61" i="14" s="1"/>
  <c r="J61" i="14" s="1"/>
  <c r="H60" i="14"/>
  <c r="I60" i="14" s="1"/>
  <c r="J60" i="14" s="1"/>
  <c r="J75" i="1"/>
  <c r="K75" i="1" s="1"/>
  <c r="M75" i="1" s="1"/>
  <c r="J69" i="1"/>
  <c r="K69" i="1" s="1"/>
  <c r="M69" i="1" s="1"/>
  <c r="K64" i="1"/>
  <c r="M64" i="1" s="1"/>
  <c r="E56" i="14"/>
  <c r="F56" i="14" s="1"/>
  <c r="G56" i="14" s="1"/>
  <c r="L56" i="14"/>
  <c r="E33" i="14"/>
  <c r="F33" i="14" s="1"/>
  <c r="G33" i="14" s="1"/>
  <c r="L33" i="14"/>
  <c r="P33" i="14"/>
  <c r="E20" i="14"/>
  <c r="F20" i="14" s="1"/>
  <c r="G20" i="14" s="1"/>
  <c r="L20" i="14"/>
  <c r="P20" i="14"/>
  <c r="E23" i="14"/>
  <c r="F23" i="14" s="1"/>
  <c r="G23" i="14" s="1"/>
  <c r="P23" i="14"/>
  <c r="L23" i="14"/>
  <c r="E57" i="14"/>
  <c r="F57" i="14" s="1"/>
  <c r="G57" i="14" s="1"/>
  <c r="L57" i="14"/>
  <c r="E45" i="14"/>
  <c r="F45" i="14" s="1"/>
  <c r="G45" i="14" s="1"/>
  <c r="L45" i="14"/>
  <c r="P45" i="14"/>
  <c r="E35" i="14"/>
  <c r="F35" i="14" s="1"/>
  <c r="G35" i="14" s="1"/>
  <c r="P35" i="14"/>
  <c r="L35" i="14"/>
  <c r="E44" i="14"/>
  <c r="F44" i="14" s="1"/>
  <c r="G44" i="14" s="1"/>
  <c r="L44" i="14"/>
  <c r="P44" i="14"/>
  <c r="E32" i="14"/>
  <c r="F32" i="14" s="1"/>
  <c r="G32" i="14" s="1"/>
  <c r="L32" i="14"/>
  <c r="P32" i="14"/>
  <c r="E66" i="14"/>
  <c r="F66" i="14" s="1"/>
  <c r="G66" i="14" s="1"/>
  <c r="L66" i="14"/>
  <c r="E54" i="14"/>
  <c r="F54" i="14" s="1"/>
  <c r="G54" i="14" s="1"/>
  <c r="L54" i="14"/>
  <c r="E53" i="14"/>
  <c r="F53" i="14" s="1"/>
  <c r="G53" i="14" s="1"/>
  <c r="L53" i="14"/>
  <c r="E29" i="14"/>
  <c r="F29" i="14" s="1"/>
  <c r="G29" i="14" s="1"/>
  <c r="L29" i="14"/>
  <c r="P29" i="14"/>
  <c r="E46" i="14"/>
  <c r="F46" i="14" s="1"/>
  <c r="G46" i="14" s="1"/>
  <c r="P46" i="14"/>
  <c r="L46" i="14"/>
  <c r="E68" i="14"/>
  <c r="F68" i="14" s="1"/>
  <c r="G68" i="14" s="1"/>
  <c r="L68" i="14"/>
  <c r="H57" i="14"/>
  <c r="I57" i="14" s="1"/>
  <c r="J57" i="14" s="1"/>
  <c r="E21" i="14"/>
  <c r="F21" i="14" s="1"/>
  <c r="G21" i="14" s="1"/>
  <c r="P21" i="14"/>
  <c r="L21" i="14"/>
  <c r="E67" i="14"/>
  <c r="F67" i="14" s="1"/>
  <c r="G67" i="14" s="1"/>
  <c r="L67" i="14"/>
  <c r="E55" i="14"/>
  <c r="F55" i="14" s="1"/>
  <c r="G55" i="14" s="1"/>
  <c r="L55" i="14"/>
  <c r="H46" i="14"/>
  <c r="I46" i="14" s="1"/>
  <c r="J46" i="14" s="1"/>
  <c r="E17" i="14"/>
  <c r="F17" i="14" s="1"/>
  <c r="G17" i="14" s="1"/>
  <c r="P17" i="14"/>
  <c r="L17" i="14"/>
  <c r="H45" i="14"/>
  <c r="I45" i="14" s="1"/>
  <c r="J45" i="14" s="1"/>
  <c r="E62" i="14"/>
  <c r="F62" i="14" s="1"/>
  <c r="G62" i="14" s="1"/>
  <c r="L62" i="14"/>
  <c r="H68" i="14"/>
  <c r="I68" i="14" s="1"/>
  <c r="J68" i="14" s="1"/>
  <c r="E47" i="14"/>
  <c r="F47" i="14" s="1"/>
  <c r="G47" i="14" s="1"/>
  <c r="P47" i="14"/>
  <c r="L47" i="14"/>
  <c r="P50" i="14"/>
  <c r="L50" i="14"/>
  <c r="E31" i="14"/>
  <c r="F31" i="14" s="1"/>
  <c r="G31" i="14" s="1"/>
  <c r="P31" i="14"/>
  <c r="L31" i="14"/>
  <c r="E19" i="14"/>
  <c r="F19" i="14" s="1"/>
  <c r="G19" i="14" s="1"/>
  <c r="L19" i="14"/>
  <c r="P19" i="14"/>
  <c r="H47" i="14"/>
  <c r="I47" i="14" s="1"/>
  <c r="J47" i="14" s="1"/>
  <c r="E42" i="14"/>
  <c r="F42" i="14" s="1"/>
  <c r="G42" i="14" s="1"/>
  <c r="L42" i="14"/>
  <c r="P42" i="14"/>
  <c r="E18" i="14"/>
  <c r="F18" i="14" s="1"/>
  <c r="G18" i="14" s="1"/>
  <c r="L18" i="14"/>
  <c r="P18" i="14"/>
  <c r="E52" i="14"/>
  <c r="F52" i="14" s="1"/>
  <c r="G52" i="14" s="1"/>
  <c r="L52" i="14"/>
  <c r="H33" i="14"/>
  <c r="I33" i="14" s="1"/>
  <c r="J33" i="14" s="1"/>
  <c r="E28" i="14"/>
  <c r="F28" i="14" s="1"/>
  <c r="G28" i="14" s="1"/>
  <c r="P28" i="14"/>
  <c r="L28" i="14"/>
  <c r="H44" i="14"/>
  <c r="I44" i="14" s="1"/>
  <c r="J44" i="14" s="1"/>
  <c r="E39" i="14"/>
  <c r="F39" i="14" s="1"/>
  <c r="G39" i="14" s="1"/>
  <c r="P39" i="14"/>
  <c r="L39" i="14"/>
  <c r="E61" i="14"/>
  <c r="F61" i="14" s="1"/>
  <c r="G61" i="14" s="1"/>
  <c r="L61" i="14"/>
  <c r="H56" i="14"/>
  <c r="I56" i="14" s="1"/>
  <c r="J56" i="14" s="1"/>
  <c r="H31" i="14"/>
  <c r="I31" i="14" s="1"/>
  <c r="J31" i="14" s="1"/>
  <c r="E50" i="14"/>
  <c r="F50" i="14" s="1"/>
  <c r="G50" i="14" s="1"/>
  <c r="E60" i="14"/>
  <c r="F60" i="14" s="1"/>
  <c r="G60" i="14" s="1"/>
  <c r="L60" i="14"/>
  <c r="H67" i="14"/>
  <c r="I67" i="14" s="1"/>
  <c r="J67" i="14" s="1"/>
  <c r="H55" i="14"/>
  <c r="I55" i="14" s="1"/>
  <c r="J55" i="14" s="1"/>
  <c r="H18" i="14"/>
  <c r="I18" i="14" s="1"/>
  <c r="J18" i="14" s="1"/>
  <c r="H35" i="14"/>
  <c r="I35" i="14" s="1"/>
  <c r="J35" i="14" s="1"/>
  <c r="E30" i="14"/>
  <c r="F30" i="14" s="1"/>
  <c r="G30" i="14" s="1"/>
  <c r="L30" i="14"/>
  <c r="P30" i="14"/>
  <c r="E41" i="14"/>
  <c r="F41" i="14" s="1"/>
  <c r="G41" i="14" s="1"/>
  <c r="L41" i="14"/>
  <c r="P41" i="14"/>
  <c r="E64" i="14"/>
  <c r="F64" i="14" s="1"/>
  <c r="G64" i="14" s="1"/>
  <c r="O64" i="14" s="1"/>
  <c r="Q64" i="14" s="1"/>
  <c r="E16" i="14"/>
  <c r="F16" i="14" s="1"/>
  <c r="G16" i="14" s="1"/>
  <c r="L16" i="14"/>
  <c r="P16" i="14"/>
  <c r="H20" i="14"/>
  <c r="I20" i="14" s="1"/>
  <c r="J20" i="14" s="1"/>
  <c r="E15" i="14"/>
  <c r="F15" i="14" s="1"/>
  <c r="G15" i="14" s="1"/>
  <c r="L15" i="14"/>
  <c r="P15" i="14"/>
  <c r="E38" i="14"/>
  <c r="F38" i="14" s="1"/>
  <c r="G38" i="14" s="1"/>
  <c r="L38" i="14"/>
  <c r="P38" i="14"/>
  <c r="E14" i="14"/>
  <c r="F14" i="14" s="1"/>
  <c r="G14" i="14" s="1"/>
  <c r="O14" i="14" s="1"/>
  <c r="Q14" i="14" s="1"/>
  <c r="L14" i="14"/>
  <c r="P14" i="14"/>
  <c r="H42" i="14"/>
  <c r="I42" i="14" s="1"/>
  <c r="J42" i="14" s="1"/>
  <c r="E49" i="14"/>
  <c r="F49" i="14" s="1"/>
  <c r="G49" i="14" s="1"/>
  <c r="P49" i="14"/>
  <c r="L49" i="14"/>
  <c r="E37" i="14"/>
  <c r="F37" i="14" s="1"/>
  <c r="G37" i="14" s="1"/>
  <c r="L37" i="14"/>
  <c r="P37" i="14"/>
  <c r="E25" i="14"/>
  <c r="F25" i="14" s="1"/>
  <c r="G25" i="14" s="1"/>
  <c r="P25" i="14"/>
  <c r="L25" i="14"/>
  <c r="E13" i="14"/>
  <c r="F13" i="14" s="1"/>
  <c r="G13" i="14" s="1"/>
  <c r="P13" i="14"/>
  <c r="L13" i="14"/>
  <c r="E59" i="14"/>
  <c r="F59" i="14" s="1"/>
  <c r="G59" i="14" s="1"/>
  <c r="L59" i="14"/>
  <c r="H66" i="14"/>
  <c r="I66" i="14" s="1"/>
  <c r="J66" i="14" s="1"/>
  <c r="H54" i="14"/>
  <c r="I54" i="14" s="1"/>
  <c r="J54" i="14" s="1"/>
  <c r="H41" i="14"/>
  <c r="I41" i="14" s="1"/>
  <c r="J41" i="14" s="1"/>
  <c r="H29" i="14"/>
  <c r="I29" i="14" s="1"/>
  <c r="J29" i="14" s="1"/>
  <c r="H17" i="14"/>
  <c r="I17" i="14" s="1"/>
  <c r="J17" i="14" s="1"/>
  <c r="E34" i="14"/>
  <c r="F34" i="14" s="1"/>
  <c r="G34" i="14" s="1"/>
  <c r="P34" i="14"/>
  <c r="L34" i="14"/>
  <c r="E22" i="14"/>
  <c r="F22" i="14" s="1"/>
  <c r="G22" i="14" s="1"/>
  <c r="P22" i="14"/>
  <c r="L22" i="14"/>
  <c r="E43" i="14"/>
  <c r="F43" i="14" s="1"/>
  <c r="G43" i="14" s="1"/>
  <c r="L43" i="14"/>
  <c r="P43" i="14"/>
  <c r="E65" i="14"/>
  <c r="F65" i="14" s="1"/>
  <c r="G65" i="14" s="1"/>
  <c r="L65" i="14"/>
  <c r="H23" i="14"/>
  <c r="I23" i="14" s="1"/>
  <c r="J23" i="14" s="1"/>
  <c r="E63" i="14"/>
  <c r="F63" i="14" s="1"/>
  <c r="G63" i="14" s="1"/>
  <c r="L63" i="14"/>
  <c r="H21" i="14"/>
  <c r="I21" i="14" s="1"/>
  <c r="J21" i="14" s="1"/>
  <c r="E40" i="14"/>
  <c r="F40" i="14" s="1"/>
  <c r="G40" i="14" s="1"/>
  <c r="L40" i="14"/>
  <c r="P40" i="14"/>
  <c r="H32" i="14"/>
  <c r="I32" i="14" s="1"/>
  <c r="J32" i="14" s="1"/>
  <c r="E27" i="14"/>
  <c r="F27" i="14" s="1"/>
  <c r="G27" i="14" s="1"/>
  <c r="P27" i="14"/>
  <c r="L27" i="14"/>
  <c r="E26" i="14"/>
  <c r="F26" i="14" s="1"/>
  <c r="G26" i="14" s="1"/>
  <c r="L26" i="14"/>
  <c r="P26" i="14"/>
  <c r="E48" i="14"/>
  <c r="F48" i="14" s="1"/>
  <c r="G48" i="14" s="1"/>
  <c r="P48" i="14"/>
  <c r="L48" i="14"/>
  <c r="E36" i="14"/>
  <c r="F36" i="14" s="1"/>
  <c r="G36" i="14" s="1"/>
  <c r="P36" i="14"/>
  <c r="L36" i="14"/>
  <c r="E24" i="14"/>
  <c r="F24" i="14" s="1"/>
  <c r="G24" i="14" s="1"/>
  <c r="P24" i="14"/>
  <c r="L24" i="14"/>
  <c r="E12" i="14"/>
  <c r="F12" i="14" s="1"/>
  <c r="G12" i="14" s="1"/>
  <c r="P12" i="14"/>
  <c r="L12" i="14"/>
  <c r="E58" i="14"/>
  <c r="F58" i="14" s="1"/>
  <c r="G58" i="14" s="1"/>
  <c r="L58" i="14"/>
  <c r="H65" i="14"/>
  <c r="I65" i="14" s="1"/>
  <c r="J65" i="14" s="1"/>
  <c r="H53" i="14"/>
  <c r="I53" i="14" s="1"/>
  <c r="J53" i="14" s="1"/>
  <c r="H40" i="14"/>
  <c r="I40" i="14" s="1"/>
  <c r="J40" i="14" s="1"/>
  <c r="H28" i="14"/>
  <c r="I28" i="14" s="1"/>
  <c r="J28" i="14" s="1"/>
  <c r="H16" i="14"/>
  <c r="I16" i="14" s="1"/>
  <c r="J16" i="14" s="1"/>
  <c r="M64" i="14"/>
  <c r="N64" i="14" s="1"/>
  <c r="M14" i="14"/>
  <c r="N14" i="14" s="1"/>
  <c r="D11" i="14"/>
  <c r="P11" i="14" s="1"/>
  <c r="O58" i="14" l="1"/>
  <c r="O19" i="14"/>
  <c r="O46" i="14"/>
  <c r="O32" i="14"/>
  <c r="O15" i="14"/>
  <c r="O55" i="14"/>
  <c r="O65" i="14"/>
  <c r="O61" i="14"/>
  <c r="O57" i="14"/>
  <c r="O37" i="14"/>
  <c r="O30" i="14"/>
  <c r="O18" i="14"/>
  <c r="O39" i="14"/>
  <c r="O23" i="14"/>
  <c r="O42" i="14"/>
  <c r="O47" i="14"/>
  <c r="O67" i="14"/>
  <c r="O29" i="14"/>
  <c r="O44" i="14"/>
  <c r="O22" i="14"/>
  <c r="O16" i="14"/>
  <c r="O53" i="14"/>
  <c r="O20" i="14"/>
  <c r="O24" i="14"/>
  <c r="O49" i="14"/>
  <c r="O13" i="14"/>
  <c r="O60" i="14"/>
  <c r="O28" i="14"/>
  <c r="O62" i="14"/>
  <c r="O21" i="14"/>
  <c r="O35" i="14"/>
  <c r="O36" i="14"/>
  <c r="O50" i="14"/>
  <c r="O54" i="14"/>
  <c r="O40" i="14"/>
  <c r="O63" i="14"/>
  <c r="O34" i="14"/>
  <c r="O33" i="14"/>
  <c r="O48" i="14"/>
  <c r="O25" i="14"/>
  <c r="O41" i="14"/>
  <c r="O52" i="14"/>
  <c r="O68" i="14"/>
  <c r="O66" i="14"/>
  <c r="O45" i="14"/>
  <c r="O27" i="14"/>
  <c r="O43" i="14"/>
  <c r="O59" i="14"/>
  <c r="L11" i="14"/>
  <c r="H11" i="14"/>
  <c r="I11" i="14" s="1"/>
  <c r="J11" i="14" s="1"/>
  <c r="O12" i="14"/>
  <c r="O26" i="14"/>
  <c r="O38" i="14"/>
  <c r="O31" i="14"/>
  <c r="O17" i="14"/>
  <c r="O56" i="14"/>
  <c r="E11" i="14"/>
  <c r="F11" i="14" s="1"/>
  <c r="G11" i="14" s="1"/>
  <c r="O11" i="14" s="1"/>
  <c r="M56" i="14" l="1"/>
  <c r="N56" i="14" s="1"/>
  <c r="Q56" i="14"/>
  <c r="M63" i="14"/>
  <c r="N63" i="14" s="1"/>
  <c r="Q63" i="14"/>
  <c r="M43" i="14"/>
  <c r="N43" i="14" s="1"/>
  <c r="Q43" i="14"/>
  <c r="M57" i="14"/>
  <c r="N57" i="14" s="1"/>
  <c r="Q57" i="14"/>
  <c r="M24" i="14"/>
  <c r="N24" i="14" s="1"/>
  <c r="Q24" i="14"/>
  <c r="M30" i="14"/>
  <c r="N30" i="14" s="1"/>
  <c r="Q30" i="14"/>
  <c r="M54" i="14"/>
  <c r="N54" i="14" s="1"/>
  <c r="Q54" i="14"/>
  <c r="M37" i="14"/>
  <c r="N37" i="14" s="1"/>
  <c r="Q37" i="14"/>
  <c r="M16" i="14"/>
  <c r="N16" i="14" s="1"/>
  <c r="Q16" i="14"/>
  <c r="M22" i="14"/>
  <c r="N22" i="14" s="1"/>
  <c r="Q22" i="14"/>
  <c r="M55" i="14"/>
  <c r="N55" i="14" s="1"/>
  <c r="Q55" i="14"/>
  <c r="M59" i="14"/>
  <c r="N59" i="14" s="1"/>
  <c r="Q59" i="14"/>
  <c r="M20" i="14"/>
  <c r="N20" i="14" s="1"/>
  <c r="Q20" i="14"/>
  <c r="Q11" i="14"/>
  <c r="M11" i="14"/>
  <c r="N11" i="14" s="1"/>
  <c r="M50" i="14"/>
  <c r="N50" i="14" s="1"/>
  <c r="Q50" i="14"/>
  <c r="M36" i="14"/>
  <c r="N36" i="14" s="1"/>
  <c r="Q36" i="14"/>
  <c r="M17" i="14"/>
  <c r="N17" i="14" s="1"/>
  <c r="Q17" i="14"/>
  <c r="M35" i="14"/>
  <c r="N35" i="14" s="1"/>
  <c r="Q35" i="14"/>
  <c r="M44" i="14"/>
  <c r="N44" i="14" s="1"/>
  <c r="Q44" i="14"/>
  <c r="M31" i="14"/>
  <c r="N31" i="14" s="1"/>
  <c r="Q31" i="14"/>
  <c r="M29" i="14"/>
  <c r="N29" i="14" s="1"/>
  <c r="Q29" i="14"/>
  <c r="M41" i="14"/>
  <c r="N41" i="14" s="1"/>
  <c r="Q41" i="14"/>
  <c r="M62" i="14"/>
  <c r="N62" i="14" s="1"/>
  <c r="Q62" i="14"/>
  <c r="M67" i="14"/>
  <c r="N67" i="14" s="1"/>
  <c r="Q67" i="14"/>
  <c r="M26" i="14"/>
  <c r="N26" i="14" s="1"/>
  <c r="Q26" i="14"/>
  <c r="M28" i="14"/>
  <c r="N28" i="14" s="1"/>
  <c r="Q28" i="14"/>
  <c r="M32" i="14"/>
  <c r="N32" i="14" s="1"/>
  <c r="Q32" i="14"/>
  <c r="M12" i="14"/>
  <c r="N12" i="14" s="1"/>
  <c r="Q12" i="14"/>
  <c r="M48" i="14"/>
  <c r="N48" i="14" s="1"/>
  <c r="Q48" i="14"/>
  <c r="M60" i="14"/>
  <c r="N60" i="14" s="1"/>
  <c r="Q60" i="14"/>
  <c r="M42" i="14"/>
  <c r="N42" i="14" s="1"/>
  <c r="Q42" i="14"/>
  <c r="M46" i="14"/>
  <c r="N46" i="14" s="1"/>
  <c r="Q46" i="14"/>
  <c r="M33" i="14"/>
  <c r="N33" i="14" s="1"/>
  <c r="Q33" i="14"/>
  <c r="M13" i="14"/>
  <c r="N13" i="14" s="1"/>
  <c r="Q13" i="14"/>
  <c r="M23" i="14"/>
  <c r="N23" i="14" s="1"/>
  <c r="Q23" i="14"/>
  <c r="M19" i="14"/>
  <c r="N19" i="14" s="1"/>
  <c r="Q19" i="14"/>
  <c r="M18" i="14"/>
  <c r="N18" i="14" s="1"/>
  <c r="Q18" i="14"/>
  <c r="M40" i="14"/>
  <c r="N40" i="14" s="1"/>
  <c r="Q40" i="14"/>
  <c r="M27" i="14"/>
  <c r="N27" i="14" s="1"/>
  <c r="Q27" i="14"/>
  <c r="M53" i="14"/>
  <c r="N53" i="14" s="1"/>
  <c r="Q53" i="14"/>
  <c r="M45" i="14"/>
  <c r="N45" i="14" s="1"/>
  <c r="Q45" i="14"/>
  <c r="M66" i="14"/>
  <c r="N66" i="14" s="1"/>
  <c r="Q66" i="14"/>
  <c r="M61" i="14"/>
  <c r="N61" i="14" s="1"/>
  <c r="Q61" i="14"/>
  <c r="M68" i="14"/>
  <c r="N68" i="14" s="1"/>
  <c r="Q68" i="14"/>
  <c r="M65" i="14"/>
  <c r="N65" i="14" s="1"/>
  <c r="Q65" i="14"/>
  <c r="M52" i="14"/>
  <c r="N52" i="14" s="1"/>
  <c r="Q52" i="14"/>
  <c r="M21" i="14"/>
  <c r="N21" i="14" s="1"/>
  <c r="Q21" i="14"/>
  <c r="M38" i="14"/>
  <c r="N38" i="14" s="1"/>
  <c r="Q38" i="14"/>
  <c r="M15" i="14"/>
  <c r="N15" i="14" s="1"/>
  <c r="Q15" i="14"/>
  <c r="M25" i="14"/>
  <c r="N25" i="14" s="1"/>
  <c r="Q25" i="14"/>
  <c r="M47" i="14"/>
  <c r="N47" i="14" s="1"/>
  <c r="Q47" i="14"/>
  <c r="M34" i="14"/>
  <c r="N34" i="14" s="1"/>
  <c r="Q34" i="14"/>
  <c r="M49" i="14"/>
  <c r="N49" i="14" s="1"/>
  <c r="Q49" i="14"/>
  <c r="M39" i="14"/>
  <c r="N39" i="14" s="1"/>
  <c r="Q39" i="14"/>
  <c r="M58" i="14"/>
  <c r="N58" i="14" s="1"/>
  <c r="Q58" i="1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<sst xmlns="http://schemas.openxmlformats.org/spreadsheetml/2006/main" count="1554" uniqueCount="1058">
  <si>
    <t>Species</t>
  </si>
  <si>
    <t>Body
temp,°C</t>
  </si>
  <si>
    <t>Method</t>
  </si>
  <si>
    <t>Broadnose sevengill shark
Notorynchus cepedianus</t>
  </si>
  <si>
    <t>No</t>
  </si>
  <si>
    <t>2.13</t>
  </si>
  <si>
    <t>16</t>
  </si>
  <si>
    <t>Acoustic tracking 2D</t>
  </si>
  <si>
    <t>Greenland shark
Somniosus microcephalus</t>
  </si>
  <si>
    <t>2.98</t>
  </si>
  <si>
    <t>2</t>
  </si>
  <si>
    <t>Speed sensor</t>
  </si>
  <si>
    <t>Salmon shark</t>
  </si>
  <si>
    <t>Yes</t>
  </si>
  <si>
    <t>2.15</t>
  </si>
  <si>
    <t>0.49</t>
  </si>
  <si>
    <t>Lamna ditropis
White shark</t>
  </si>
  <si>
    <t>3.60</t>
  </si>
  <si>
    <t>0.26</t>
  </si>
  <si>
    <t>Carcharodon carcharias
Shortfin mako shark</t>
  </si>
  <si>
    <t>1.10</t>
  </si>
  <si>
    <t>Acoustic tracking 3D</t>
  </si>
  <si>
    <t>Isurus oxyrinchus
Basking shark
Cetorhinus maximus</t>
  </si>
  <si>
    <t>4.00</t>
  </si>
  <si>
    <t>13</t>
  </si>
  <si>
    <t>Boat</t>
  </si>
  <si>
    <t>5</t>
  </si>
  <si>
    <t>Whale shark</t>
  </si>
  <si>
    <t>6.00</t>
  </si>
  <si>
    <t>25</t>
  </si>
  <si>
    <t>Pitch</t>
  </si>
  <si>
    <t>6</t>
  </si>
  <si>
    <t>Rhincodon typus
Leopard shark
Triakis semifasciata</t>
  </si>
  <si>
    <t>1.19</t>
  </si>
  <si>
    <t>18</t>
  </si>
  <si>
    <t>0.73</t>
  </si>
  <si>
    <t>7</t>
  </si>
  <si>
    <t>Gummy shark
Mustelus antarcticus</t>
  </si>
  <si>
    <t>0.88</t>
  </si>
  <si>
    <t>0.33</t>
  </si>
  <si>
    <t>0.67</t>
  </si>
  <si>
    <t>3.57</t>
  </si>
  <si>
    <t>26</t>
  </si>
  <si>
    <t>8</t>
  </si>
  <si>
    <t>0.57</t>
  </si>
  <si>
    <t>Tailbeat</t>
  </si>
  <si>
    <t>1.20</t>
  </si>
  <si>
    <t>0.52</t>
  </si>
  <si>
    <t>29</t>
  </si>
  <si>
    <t>1.57</t>
  </si>
  <si>
    <t>28</t>
  </si>
  <si>
    <t>1.71</t>
  </si>
  <si>
    <t>27</t>
  </si>
  <si>
    <t>22</t>
  </si>
  <si>
    <t>0.83</t>
  </si>
  <si>
    <t>0.42</t>
  </si>
  <si>
    <t>11</t>
  </si>
  <si>
    <t>2.09</t>
  </si>
  <si>
    <t>2.52</t>
  </si>
  <si>
    <t>0.43</t>
  </si>
  <si>
    <t>12</t>
  </si>
  <si>
    <t>2.97</t>
  </si>
  <si>
    <t>20</t>
  </si>
  <si>
    <t>0.81</t>
  </si>
  <si>
    <t>14</t>
  </si>
  <si>
    <t>1.21</t>
  </si>
  <si>
    <t>15</t>
  </si>
  <si>
    <t>Stealhead trout
Oncorhynchus mykiss</t>
  </si>
  <si>
    <t>0.79</t>
  </si>
  <si>
    <t>0.65</t>
  </si>
  <si>
    <t>0.60</t>
  </si>
  <si>
    <t>19</t>
  </si>
  <si>
    <t>0.84</t>
  </si>
  <si>
    <t>0.58</t>
  </si>
  <si>
    <t>21</t>
  </si>
  <si>
    <t>0.20</t>
  </si>
  <si>
    <t>0.15</t>
  </si>
  <si>
    <t>0.40</t>
  </si>
  <si>
    <t>0.80</t>
  </si>
  <si>
    <t>1.34</t>
  </si>
  <si>
    <t>2.46</t>
  </si>
  <si>
    <t>1.00</t>
  </si>
  <si>
    <t>No*</t>
  </si>
  <si>
    <t>2.20</t>
  </si>
  <si>
    <t>0.32</t>
  </si>
  <si>
    <t>0.21</t>
  </si>
  <si>
    <t>1.15</t>
  </si>
  <si>
    <t>Gag</t>
  </si>
  <si>
    <t>0.66</t>
  </si>
  <si>
    <t>Chum salmon
Oncorhynchus keta</t>
    <phoneticPr fontId="7" type="noConversion"/>
  </si>
  <si>
    <t>Sockeye salmon
Oncorhynchus nerka</t>
    <phoneticPr fontId="7" type="noConversion"/>
  </si>
  <si>
    <t>Chinook salmon
Oncorhynchus tshawytscha</t>
    <phoneticPr fontId="7" type="noConversion"/>
  </si>
  <si>
    <t>Lake trout
Salvelinus namaycush</t>
    <phoneticPr fontId="7" type="noConversion"/>
  </si>
  <si>
    <t>Sea trout</t>
    <phoneticPr fontId="7" type="noConversion"/>
  </si>
  <si>
    <t>Salmo trutta
Altantic salmon
Salmo salar</t>
    <phoneticPr fontId="7" type="noConversion"/>
  </si>
  <si>
    <t>Ling
Molva molva</t>
    <phoneticPr fontId="7" type="noConversion"/>
  </si>
  <si>
    <t>Atlantic cod
Gadus morhua</t>
    <phoneticPr fontId="7" type="noConversion"/>
  </si>
  <si>
    <t>Yellowfin tuna</t>
    <phoneticPr fontId="7" type="noConversion"/>
  </si>
  <si>
    <t>Thunnus albacares
Altantic bluefin tuna
Thunnus thynnus</t>
    <phoneticPr fontId="7" type="noConversion"/>
  </si>
  <si>
    <t>Pacific bluefin tuna
Thunnus orientalis</t>
    <phoneticPr fontId="7" type="noConversion"/>
  </si>
  <si>
    <t>Sailfish
Istiophorus  platypterus</t>
    <phoneticPr fontId="7" type="noConversion"/>
  </si>
  <si>
    <t>Blue marlin
Makaira nigricans</t>
    <phoneticPr fontId="7" type="noConversion"/>
  </si>
  <si>
    <t>Japanese flounder
Paralichthys olivaceus</t>
    <phoneticPr fontId="7" type="noConversion"/>
  </si>
  <si>
    <t>Plaice
Pleuronectes platessa</t>
    <phoneticPr fontId="7" type="noConversion"/>
  </si>
  <si>
    <t>Red roman
Chrysoblephus laticeps</t>
    <phoneticPr fontId="7" type="noConversion"/>
  </si>
  <si>
    <t>Ocean sunfish
Mola molaMola mola</t>
    <phoneticPr fontId="7" type="noConversion"/>
  </si>
  <si>
    <t>Gray snapper
Lutjanus griseus</t>
    <phoneticPr fontId="7" type="noConversion"/>
  </si>
  <si>
    <t>Largemouth bass
Micropterus salmoides</t>
    <phoneticPr fontId="7" type="noConversion"/>
  </si>
  <si>
    <t>Mycteroperca microlepis
Nassau grouper
Epinephelus striatus</t>
    <phoneticPr fontId="7" type="noConversion"/>
  </si>
  <si>
    <t>Perch
Perca fluviatilis</t>
    <phoneticPr fontId="7" type="noConversion"/>
  </si>
  <si>
    <t>Lumpsucker
Cyclopterus lumpus</t>
    <phoneticPr fontId="7" type="noConversion"/>
  </si>
  <si>
    <t>Cutthroat trout
Oncorhynchus clarkii</t>
    <phoneticPr fontId="7" type="noConversion"/>
  </si>
  <si>
    <t>European catfish
Silurus glanis</t>
    <phoneticPr fontId="7" type="noConversion"/>
  </si>
  <si>
    <t>European eel
Anguilla anguilla</t>
    <phoneticPr fontId="7" type="noConversion"/>
  </si>
  <si>
    <t>Chinese sturgeon
Acipenser sinensis</t>
    <phoneticPr fontId="7" type="noConversion"/>
  </si>
  <si>
    <t>Blue shark
Prionace glauca</t>
    <phoneticPr fontId="7" type="noConversion"/>
  </si>
  <si>
    <t>Oceanic whitetip shark
Carcharhinus longimanus</t>
    <phoneticPr fontId="7" type="noConversion"/>
  </si>
  <si>
    <t>Sandbar shark
Carcharhinus plumbeus</t>
    <phoneticPr fontId="7" type="noConversion"/>
  </si>
  <si>
    <t>Lemon shark
Negaprion brevirostris</t>
    <phoneticPr fontId="7" type="noConversion"/>
  </si>
  <si>
    <t>Gray reef shark
Carcharhinus amblyrhynchos</t>
    <phoneticPr fontId="7" type="noConversion"/>
  </si>
  <si>
    <t>Blacktip reef shark
Carcharhinus melanopterus</t>
    <phoneticPr fontId="7" type="noConversion"/>
  </si>
  <si>
    <t>Scalloped hammerhead shark
Sphyrna lewini</t>
    <phoneticPr fontId="7" type="noConversion"/>
  </si>
  <si>
    <t>Tiger shark
Galeocerdo cuvier</t>
    <phoneticPr fontId="7" type="noConversion"/>
  </si>
  <si>
    <t>Black rockfish
Sebastes cheni</t>
    <phoneticPr fontId="7" type="noConversion"/>
  </si>
  <si>
    <t>Swim speed,</t>
  </si>
  <si>
    <t>Body
length, m</t>
    <phoneticPr fontId="7" type="noConversion"/>
  </si>
  <si>
    <t>Yes</t>
    <phoneticPr fontId="7" type="noConversion"/>
  </si>
  <si>
    <t>RM
endothermy</t>
    <phoneticPr fontId="7" type="noConversion"/>
  </si>
  <si>
    <t>none</t>
    <phoneticPr fontId="7" type="noConversion"/>
  </si>
  <si>
    <r>
      <t xml:space="preserve">Body
</t>
    </r>
    <r>
      <rPr>
        <b/>
        <sz val="11"/>
        <color rgb="FF3F3F3F"/>
        <rFont val="等线"/>
        <family val="3"/>
        <charset val="134"/>
        <scheme val="minor"/>
      </rPr>
      <t>kg</t>
    </r>
    <phoneticPr fontId="7" type="noConversion"/>
  </si>
  <si>
    <t>Speed sensor</t>
    <phoneticPr fontId="7" type="noConversion"/>
  </si>
  <si>
    <t>Acoustic tracking 2D</t>
    <phoneticPr fontId="7" type="noConversion"/>
  </si>
  <si>
    <t xml:space="preserve">White sharks, Carcharodon carcharias </t>
    <phoneticPr fontId="7" type="noConversion"/>
  </si>
  <si>
    <t>IWC | International</t>
    <phoneticPr fontId="7" type="noConversion"/>
  </si>
  <si>
    <t xml:space="preserve"> sperm whale Physeter macrocephalus</t>
    <phoneticPr fontId="7" type="noConversion"/>
  </si>
  <si>
    <t>Weddell seal Leptonychotes weddellii</t>
    <phoneticPr fontId="7" type="noConversion"/>
  </si>
  <si>
    <t xml:space="preserve"> elephant seal Mirounga angustirostris</t>
    <phoneticPr fontId="7" type="noConversion"/>
  </si>
  <si>
    <t>DOI:10.1098/rspb.2006.0007</t>
  </si>
  <si>
    <t>a=</t>
    <phoneticPr fontId="8" type="noConversion"/>
  </si>
  <si>
    <t>b=</t>
    <phoneticPr fontId="8" type="noConversion"/>
  </si>
  <si>
    <t>t=</t>
    <phoneticPr fontId="8" type="noConversion"/>
  </si>
  <si>
    <t>Cartorhynchus lenticarpus</t>
    <phoneticPr fontId="8" type="noConversion"/>
  </si>
  <si>
    <t>a=28</t>
    <phoneticPr fontId="8" type="noConversion"/>
  </si>
  <si>
    <t>b=0.67</t>
    <phoneticPr fontId="8" type="noConversion"/>
  </si>
  <si>
    <t>生物利用能量效率</t>
    <phoneticPr fontId="8" type="noConversion"/>
  </si>
  <si>
    <t>Eg^0.08*(M^0.336)*(1-e^-19.5*M)</t>
    <phoneticPr fontId="8" type="noConversion"/>
  </si>
  <si>
    <t>Ek=a*M^b</t>
    <phoneticPr fontId="8" type="noConversion"/>
  </si>
  <si>
    <t>Sclerocormus parviceps</t>
    <phoneticPr fontId="8" type="noConversion"/>
  </si>
  <si>
    <t>Thaisaurus chonglakmanii</t>
    <phoneticPr fontId="8" type="noConversion"/>
  </si>
  <si>
    <t>Chaohusaurus geishanensis</t>
    <phoneticPr fontId="8" type="noConversion"/>
  </si>
  <si>
    <t>Chaohusaurus chaoxianensis</t>
    <phoneticPr fontId="8" type="noConversion"/>
  </si>
  <si>
    <t>Omphalosaurus nevadanus</t>
    <phoneticPr fontId="8" type="noConversion"/>
  </si>
  <si>
    <t>Omphalosaurus wolfi</t>
    <phoneticPr fontId="8" type="noConversion"/>
  </si>
  <si>
    <t>Parvinatator wapitiensis</t>
    <phoneticPr fontId="8" type="noConversion"/>
  </si>
  <si>
    <t>Utatsusaurus hataii</t>
    <phoneticPr fontId="8" type="noConversion"/>
  </si>
  <si>
    <t>Gulosaurus helmi</t>
    <phoneticPr fontId="8" type="noConversion"/>
  </si>
  <si>
    <t>Grippia longirostris</t>
    <phoneticPr fontId="8" type="noConversion"/>
  </si>
  <si>
    <t>Quasianosteosaurus vikinghoegdai</t>
    <phoneticPr fontId="8" type="noConversion"/>
  </si>
  <si>
    <t>Xinminosaurus catactes</t>
    <phoneticPr fontId="8" type="noConversion"/>
  </si>
  <si>
    <t>Barracudasauroides panxianensis</t>
    <phoneticPr fontId="8" type="noConversion"/>
  </si>
  <si>
    <t>Phalarodon callawayi</t>
    <phoneticPr fontId="8" type="noConversion"/>
  </si>
  <si>
    <t>Cymbospondylus buchseri</t>
    <phoneticPr fontId="8" type="noConversion"/>
  </si>
  <si>
    <t>Cymbospondylus nichollsi</t>
    <phoneticPr fontId="8" type="noConversion"/>
  </si>
  <si>
    <t>Cymbospondylus duelferi</t>
    <phoneticPr fontId="8" type="noConversion"/>
  </si>
  <si>
    <t>Cymbospondylus piscosus</t>
  </si>
  <si>
    <t>Shonisaurus popularis</t>
  </si>
  <si>
    <t>Qianichthyosaurus xingyiensis</t>
  </si>
  <si>
    <t>Hudsonelpidia brevirostris</t>
  </si>
  <si>
    <t>Macgowania janiceps</t>
  </si>
  <si>
    <t>Phalarodon atavus(also as Phalarodon fraasi)</t>
    <phoneticPr fontId="8" type="noConversion"/>
  </si>
  <si>
    <t>Himalayasaurus tibetensis</t>
    <phoneticPr fontId="8" type="noConversion"/>
  </si>
  <si>
    <t>Phantomosaurus neubigi</t>
    <phoneticPr fontId="8" type="noConversion"/>
  </si>
  <si>
    <t>Shastasaurus liangae</t>
    <phoneticPr fontId="8" type="noConversion"/>
  </si>
  <si>
    <t>Shastasaurus pacificus</t>
    <phoneticPr fontId="8" type="noConversion"/>
  </si>
  <si>
    <t>Besanosaurus leptorhynchus</t>
    <phoneticPr fontId="8" type="noConversion"/>
  </si>
  <si>
    <t>Shastasaurus tangae</t>
    <phoneticPr fontId="8" type="noConversion"/>
  </si>
  <si>
    <t>Callarwayia wolongganagense(also as Mikadocephalus gracilirostris)</t>
    <phoneticPr fontId="8" type="noConversion"/>
  </si>
  <si>
    <t>Callawayia neoscapularis</t>
    <phoneticPr fontId="8" type="noConversion"/>
  </si>
  <si>
    <t>Qianichthyosaurus zhoui(also as Wimanius odontopalatus)</t>
    <phoneticPr fontId="8" type="noConversion"/>
  </si>
  <si>
    <t>Helveticosaurus zollingeri</t>
    <phoneticPr fontId="8" type="noConversion"/>
  </si>
  <si>
    <t>Eusaurosphargis dalsassoi</t>
  </si>
  <si>
    <t>Cyamodus hildegardis</t>
  </si>
  <si>
    <t>Sinocyamodus xinpuensis</t>
  </si>
  <si>
    <t>Cyamodus kuhnschnyderi</t>
  </si>
  <si>
    <t>Cyamodus orientalis</t>
  </si>
  <si>
    <t>Henodus chelyops</t>
  </si>
  <si>
    <t>Psephochelys polyosteoderma（also as Macroplacus raeticus）</t>
    <phoneticPr fontId="8" type="noConversion"/>
  </si>
  <si>
    <t>Cyamodus rostratus(also as Cyamodus muensteri)</t>
    <phoneticPr fontId="8" type="noConversion"/>
  </si>
  <si>
    <t>Psephosauriscus mosis(also as Psephosauriscus sinaiticus)</t>
    <phoneticPr fontId="8" type="noConversion"/>
  </si>
  <si>
    <t>Psephosauriscus ramonensis(also as Psephosauriscus rhombifer)</t>
    <phoneticPr fontId="8" type="noConversion"/>
  </si>
  <si>
    <t>Palatodonta bleekeri(also as Paraplacodus broilli and Pararcus diepenbroek)</t>
    <phoneticPr fontId="8" type="noConversion"/>
  </si>
  <si>
    <t>Glyphoderma kangi(also as Placochelys placodonta)</t>
    <phoneticPr fontId="8" type="noConversion"/>
  </si>
  <si>
    <t>Placodus inexpectatus</t>
    <phoneticPr fontId="8" type="noConversion"/>
  </si>
  <si>
    <r>
      <t>Eg=Ek</t>
    </r>
    <r>
      <rPr>
        <sz val="11"/>
        <color theme="1"/>
        <rFont val="等线"/>
        <family val="3"/>
        <charset val="134"/>
        <scheme val="minor"/>
      </rPr>
      <t>*e^</t>
    </r>
    <r>
      <rPr>
        <sz val="12"/>
        <color theme="1"/>
        <rFont val="等线"/>
        <family val="3"/>
        <charset val="134"/>
        <scheme val="minor"/>
      </rPr>
      <t>(-0.62/K_b*(t+273.15))</t>
    </r>
    <phoneticPr fontId="8" type="noConversion"/>
  </si>
  <si>
    <t>(247.5-242.5Ma)
(245Ma)</t>
    <phoneticPr fontId="8" type="noConversion"/>
  </si>
  <si>
    <t>(242.5-237.5Ma)
240Ma</t>
    <phoneticPr fontId="8" type="noConversion"/>
  </si>
  <si>
    <t>(237.5-232.5Ma)
235Ma</t>
    <phoneticPr fontId="8" type="noConversion"/>
  </si>
  <si>
    <t>(232.5-227.5Ma)
230Ma</t>
    <phoneticPr fontId="8" type="noConversion"/>
  </si>
  <si>
    <t>(227.5-222.5Ma)
225Ma</t>
    <phoneticPr fontId="8" type="noConversion"/>
  </si>
  <si>
    <t>(222.5-217.5Ma)
220Ma</t>
    <phoneticPr fontId="8" type="noConversion"/>
  </si>
  <si>
    <t>(217.5-212.5Ma)
215Ma</t>
    <phoneticPr fontId="8" type="noConversion"/>
  </si>
  <si>
    <t>(212.5-207.5Ma)
210Ma</t>
    <phoneticPr fontId="8" type="noConversion"/>
  </si>
  <si>
    <t>(207.5-202.5Ma)
205Ma</t>
    <phoneticPr fontId="8" type="noConversion"/>
  </si>
  <si>
    <t>(202.5-197.5Ma)
200Ma</t>
    <phoneticPr fontId="8" type="noConversion"/>
  </si>
  <si>
    <t>N.18.49--E.93.63</t>
    <phoneticPr fontId="8" type="noConversion"/>
  </si>
  <si>
    <t>N.15.16--E.94.56</t>
    <phoneticPr fontId="8" type="noConversion"/>
  </si>
  <si>
    <t>N10.49--E99.84</t>
    <phoneticPr fontId="8" type="noConversion"/>
  </si>
  <si>
    <t>N.14.67--E.93.97</t>
    <phoneticPr fontId="8" type="noConversion"/>
  </si>
  <si>
    <t>N.11.53--E.94.62</t>
    <phoneticPr fontId="8" type="noConversion"/>
  </si>
  <si>
    <t>N.18.46--E.26.05</t>
    <phoneticPr fontId="8" type="noConversion"/>
  </si>
  <si>
    <t>N15.33--E20.89</t>
    <phoneticPr fontId="8" type="noConversion"/>
  </si>
  <si>
    <t>N.15.43--E.19.14</t>
    <phoneticPr fontId="8" type="noConversion"/>
  </si>
  <si>
    <t>LAND N.33.76--E.13.11</t>
    <phoneticPr fontId="8" type="noConversion"/>
  </si>
  <si>
    <t>N.34.91--E.12.65</t>
    <phoneticPr fontId="8" type="noConversion"/>
  </si>
  <si>
    <t>LAND. N.36.23--E.12.69</t>
    <phoneticPr fontId="8" type="noConversion"/>
  </si>
  <si>
    <t>N.14.94--E.17.08</t>
    <phoneticPr fontId="8" type="noConversion"/>
  </si>
  <si>
    <t>N.19.51--E.15.10</t>
    <phoneticPr fontId="8" type="noConversion"/>
  </si>
  <si>
    <t>N.17.07--E.18.85</t>
    <phoneticPr fontId="8" type="noConversion"/>
  </si>
  <si>
    <t>N.17.34--E.17.33</t>
    <phoneticPr fontId="8" type="noConversion"/>
  </si>
  <si>
    <t>N5.42--E.21.15</t>
    <phoneticPr fontId="8" type="noConversion"/>
  </si>
  <si>
    <t>N.6.15--E19.79</t>
    <phoneticPr fontId="8" type="noConversion"/>
  </si>
  <si>
    <t>N.14.66--E.22.58</t>
    <phoneticPr fontId="8" type="noConversion"/>
  </si>
  <si>
    <t>N.5.36--E.22.00</t>
    <phoneticPr fontId="8" type="noConversion"/>
  </si>
  <si>
    <t>N.25.11--E.13.46</t>
    <phoneticPr fontId="8" type="noConversion"/>
  </si>
  <si>
    <t>N.26.44--E.12.95</t>
    <phoneticPr fontId="8" type="noConversion"/>
  </si>
  <si>
    <t>N.27.75--E.12.77</t>
    <phoneticPr fontId="8" type="noConversion"/>
  </si>
  <si>
    <t>N.9.82--E.19.86</t>
    <phoneticPr fontId="8" type="noConversion"/>
  </si>
  <si>
    <t>N.16.79--E.16.39</t>
    <phoneticPr fontId="8" type="noConversion"/>
  </si>
  <si>
    <t>N.35.22-E.0.58</t>
    <phoneticPr fontId="8" type="noConversion"/>
  </si>
  <si>
    <t>N.20.75--E.23.14</t>
    <phoneticPr fontId="8" type="noConversion"/>
  </si>
  <si>
    <t>N.9.32--E.9.48</t>
    <phoneticPr fontId="8" type="noConversion"/>
  </si>
  <si>
    <t>N.14.35--E.7.89</t>
    <phoneticPr fontId="8" type="noConversion"/>
  </si>
  <si>
    <t>N.17.52--E.5.16</t>
    <phoneticPr fontId="8" type="noConversion"/>
  </si>
  <si>
    <t>N.23.93--E.4.48</t>
    <phoneticPr fontId="8" type="noConversion"/>
  </si>
  <si>
    <t>N.24.51--5.41</t>
    <phoneticPr fontId="8" type="noConversion"/>
  </si>
  <si>
    <t>LAND N.25.29--E.4.72</t>
    <phoneticPr fontId="8" type="noConversion"/>
  </si>
  <si>
    <t>N.26.62--E.4.29</t>
    <phoneticPr fontId="8" type="noConversion"/>
  </si>
  <si>
    <t>S.13.70--E.34.89</t>
    <phoneticPr fontId="8" type="noConversion"/>
  </si>
  <si>
    <t>S.14.36--E.33.95</t>
    <phoneticPr fontId="8" type="noConversion"/>
  </si>
  <si>
    <t>S.12.83--E.33.40</t>
    <phoneticPr fontId="8" type="noConversion"/>
  </si>
  <si>
    <t>N20.98--E103.27</t>
    <phoneticPr fontId="8" type="noConversion"/>
  </si>
  <si>
    <t>N18.56--E101.45</t>
    <phoneticPr fontId="8" type="noConversion"/>
  </si>
  <si>
    <t>N.21.92--E.93.94</t>
    <phoneticPr fontId="8" type="noConversion"/>
  </si>
  <si>
    <t>N18.41--E.93.82</t>
    <phoneticPr fontId="8" type="noConversion"/>
  </si>
  <si>
    <t>N21.67--E.93.57</t>
    <phoneticPr fontId="8" type="noConversion"/>
  </si>
  <si>
    <t>N.24.82--E.94.31</t>
    <phoneticPr fontId="8" type="noConversion"/>
  </si>
  <si>
    <t>N10.69--E100.24</t>
    <phoneticPr fontId="8" type="noConversion"/>
  </si>
  <si>
    <t>N.18.84--E.73.07</t>
    <phoneticPr fontId="8" type="noConversion"/>
  </si>
  <si>
    <t>N.18.21--E.71.72</t>
    <phoneticPr fontId="8" type="noConversion"/>
  </si>
  <si>
    <t>S32.69--E117.81</t>
    <phoneticPr fontId="8" type="noConversion"/>
  </si>
  <si>
    <t>S.30.17--E119.78</t>
    <phoneticPr fontId="8" type="noConversion"/>
  </si>
  <si>
    <t>S11.09--E97.21</t>
    <phoneticPr fontId="8" type="noConversion"/>
  </si>
  <si>
    <t>N18.76--E19.88</t>
    <phoneticPr fontId="8" type="noConversion"/>
  </si>
  <si>
    <t>N.14.81--E.21.32</t>
    <phoneticPr fontId="8" type="noConversion"/>
  </si>
  <si>
    <t>N.25.04--W.34.95</t>
    <phoneticPr fontId="8" type="noConversion"/>
  </si>
  <si>
    <t>N.31.88--W.49.33</t>
    <phoneticPr fontId="8" type="noConversion"/>
  </si>
  <si>
    <t>N.17.40--W.58.30</t>
    <phoneticPr fontId="8" type="noConversion"/>
  </si>
  <si>
    <t>N.14.33--W.57.20</t>
    <phoneticPr fontId="8" type="noConversion"/>
  </si>
  <si>
    <t>N.17.27--W.59.43</t>
    <phoneticPr fontId="8" type="noConversion"/>
  </si>
  <si>
    <t>N.10.40--W.43.57</t>
    <phoneticPr fontId="8" type="noConversion"/>
  </si>
  <si>
    <t>N.6.8--W.43.94</t>
    <phoneticPr fontId="8" type="noConversion"/>
  </si>
  <si>
    <t>N.5.14--W.42.95</t>
    <phoneticPr fontId="8" type="noConversion"/>
  </si>
  <si>
    <t>N.7.5--W43.72</t>
    <phoneticPr fontId="8" type="noConversion"/>
  </si>
  <si>
    <t>N.9.99--W.46.15</t>
    <phoneticPr fontId="8" type="noConversion"/>
  </si>
  <si>
    <t>N.7.13--W.47.13</t>
    <phoneticPr fontId="8" type="noConversion"/>
  </si>
  <si>
    <t>N.10.01--W.43.97</t>
    <phoneticPr fontId="8" type="noConversion"/>
  </si>
  <si>
    <t>N.11.56--W.48.30</t>
    <phoneticPr fontId="8" type="noConversion"/>
  </si>
  <si>
    <t>N.13.76--W.52.53</t>
    <phoneticPr fontId="8" type="noConversion"/>
  </si>
  <si>
    <t>N.10.69--W.50.72</t>
    <phoneticPr fontId="8" type="noConversion"/>
  </si>
  <si>
    <t>N.13.27--W.52.52</t>
    <phoneticPr fontId="8" type="noConversion"/>
  </si>
  <si>
    <t>S.29.58--E.114.29</t>
    <phoneticPr fontId="7" type="noConversion"/>
  </si>
  <si>
    <t>N.17.82--E.22.05</t>
    <phoneticPr fontId="8" type="noConversion"/>
  </si>
  <si>
    <t>N.16.91--E.13.91</t>
    <phoneticPr fontId="8" type="noConversion"/>
  </si>
  <si>
    <t>S.12.28--E.34.54</t>
    <phoneticPr fontId="8" type="noConversion"/>
  </si>
  <si>
    <t>N.25.87--E.13.25</t>
    <phoneticPr fontId="8" type="noConversion"/>
  </si>
  <si>
    <t>N27.14--E12.61</t>
    <phoneticPr fontId="8" type="noConversion"/>
  </si>
  <si>
    <t>N28.63--E.12.39</t>
    <phoneticPr fontId="8" type="noConversion"/>
  </si>
  <si>
    <t>B0=</t>
    <phoneticPr fontId="8" type="noConversion"/>
  </si>
  <si>
    <t>B1=</t>
    <phoneticPr fontId="8" type="noConversion"/>
  </si>
  <si>
    <t>B2=</t>
  </si>
  <si>
    <r>
      <t>max_longevity=
10^(B0+B1×log10(max_altitude)+B2×log10</t>
    </r>
    <r>
      <rPr>
        <sz val="11"/>
        <color rgb="FF000000"/>
        <rFont val="MS Gothic"/>
        <family val="3"/>
        <charset val="128"/>
      </rPr>
      <t>​</t>
    </r>
    <r>
      <rPr>
        <sz val="11"/>
        <color rgb="FF000000"/>
        <rFont val="等线"/>
        <family val="3"/>
        <charset val="134"/>
        <scheme val="minor"/>
      </rPr>
      <t>(adult_weight))</t>
    </r>
    <phoneticPr fontId="8" type="noConversion"/>
  </si>
  <si>
    <t>Barnett A, Abrantes KG, Stevens JD, Bruce BD, Semmens JM (2010) Fine-scale movements of the broadnose sevengill shark and its main prey, the gummy shark. PLoS ONE 5(12):e15464.</t>
    <phoneticPr fontId="7" type="noConversion"/>
  </si>
  <si>
    <t>Watanabe YY, Lydersen C, Fisk AT, Kovacs KM (2012) The slowest fish: Swim speed and tail-beat frequency of Greenland sharks. J Exp Mar Biol Ecol 426:5-11.</t>
    <phoneticPr fontId="7" type="noConversion"/>
  </si>
  <si>
    <t>Sims DW (2000) Filter-feeding and cruising swimming speeds of basking sharks compared with optimal models: They filter-feed slower than predicted for their size. J Exp Mar Biol Ecol 249(1):65-76.</t>
    <phoneticPr fontId="7" type="noConversion"/>
  </si>
  <si>
    <t>Gleiss AC, Norman B, Wilson RP (2011) Moved by that sinking feeling: Variable diving geometry underlies movement strategies in whale sharks. Funct Ecol 25(3):595-607.</t>
    <phoneticPr fontId="7" type="noConversion"/>
  </si>
  <si>
    <t>Carlisle AB, Starr RM (2010) Tidal movements of female leopard sharks (Triakis semifasciata) in Elkhorn Slough, California. Environ Biol Fishes 89(1):31-45.</t>
    <phoneticPr fontId="7" type="noConversion"/>
  </si>
  <si>
    <t>Lowe CG (2002) Bioenergetics of free-ranging juvenile scalloped hammerhead sharks (Sphyrna lewini) in Kane’ohe Bay, O’ahu, HI. J Exp Mar Biol Ecol 278(2):141-156.</t>
    <phoneticPr fontId="7" type="noConversion"/>
  </si>
  <si>
    <t>Sundström LF, Gruber SH (1998) Using speed-sensing transmitters to construct a bioenergetics model for subadult lemon sharks, Negaprion brevirostris (Poey), in the field. Hydrobiologia 372:241-247.</t>
    <phoneticPr fontId="7" type="noConversion"/>
  </si>
  <si>
    <t>Rechisky EL, Wetherbee BM (2003) Short-term movements of juvenile and neonate sandbar sharks, Carcharhinus plumbeus, on their nursery grounds in Delaware Bay. Environ Biol Fishes 68(2):113-128.</t>
    <phoneticPr fontId="7" type="noConversion"/>
  </si>
  <si>
    <t>Carey FG, Scharold JV (1990) Movements of blue sharks (Prionace glauca) in depth and course. Mar Biol 106(3):329-342.</t>
    <phoneticPr fontId="7" type="noConversion"/>
  </si>
  <si>
    <t>Watanabe YY, Wei Q, Du H, Li L, Miyazaki N (2013) Swimming behavior of Chinese sturgeon in natural habitat as compared to that in a deep reservoir: Preliminary evidence for anthropogenic impacts. Environ Biol Fishes 96(1):123-130.</t>
    <phoneticPr fontId="7" type="noConversion"/>
  </si>
  <si>
    <t>McCleave JD, Arnold GP (1999) Movements of yellow- and silver-phase European eels (Anguilla anguilla L.) tracked in the western North Sea. ICES J Mar Sci 56(4):510-536.</t>
    <phoneticPr fontId="7" type="noConversion"/>
  </si>
  <si>
    <t>Carol J, Zamora L, Garcia-Berthou E (2007) Preliminary telemetry data on the movement patterns and habitat use of European catfish (Silurus glanis) in a reservoir of the River Ebro, Spain. Ecol Freshwat Fish 16(3):450-456.</t>
    <phoneticPr fontId="7" type="noConversion"/>
  </si>
  <si>
    <t>Ruggerone GT, Quinn TP, McGregor IA, Wilkinson TD (1990) Horizontal and vertical movements of adult steelhead trout, Oncorhynchus mykiss, in the Dean and Fisher channels, British Columbia. Can J Fish Aquat Sci 47(10):1963-1969.</t>
    <phoneticPr fontId="7" type="noConversion"/>
  </si>
  <si>
    <t>Baldwin CM, Beauchamp DA, Gubala CP (2002) Seasonal and diel distribution and movement of cutthroat trout from ultrasonic telemetry. Trans Am Fish Soc 131(1):143-158.</t>
    <phoneticPr fontId="7" type="noConversion"/>
  </si>
  <si>
    <t>Tanaka H, Takagi Y, Naito Y (2001) Swimming speeds and buoyancy compensation of migrating adult chum salmon Oncorhynchus keta revealed by speed/depth/acceleration data logger. J Exp Biol 204(Pt 22):3895-3904.</t>
    <phoneticPr fontId="7" type="noConversion"/>
  </si>
  <si>
    <t>Quinn TP, Terhart BA, Groot C (1989) Migratory orientation and vertical movements of homing adult sockeye salmon, Oncorhynchus nerka, in coastal waters. Anim Behav 37:587-599.</t>
    <phoneticPr fontId="7" type="noConversion"/>
  </si>
  <si>
    <t>Olson AF, Quinn TP (1993) Vertical and horizontal movements of adult Chinook salmon Oncorhynchus tshawytscha in the Columbia River estuary. Fish Bull 91(1):171-178.</t>
    <phoneticPr fontId="7" type="noConversion"/>
  </si>
  <si>
    <t>Dunlop ES, Milne SW, Ridgway MS, Condiotty J, Higginbottom I (2010) In situ swimming behavior of lake trout observed using integrated multibeam acoustics and biotelemetry. Trans Am Fish Soc 139(2):420-432.</t>
    <phoneticPr fontId="7" type="noConversion"/>
  </si>
  <si>
    <t>Thorstad EB, et al. (2004) Migration speeds and orientation of Atlantic salmon and sea trout post-smolts in a Norwegian fjord system. Environ Biol Fishes 71(3):305-311.</t>
    <phoneticPr fontId="7" type="noConversion"/>
  </si>
  <si>
    <t>Thorstad EB, et al. (2007) Fjord migration and survival of wild and hatchery-reared Atlantic salmon and wild brown trout post-smolts. Hydrobiologia 582:99-107.</t>
    <phoneticPr fontId="7" type="noConversion"/>
  </si>
  <si>
    <t>Lokkeborg S, Skajaa K, Ferno A (2000) Food-search strategy in ling (Molva molva L.): Crepuscular activity and use of space. J Exp Mar Biol Ecol 247(2):195-208.</t>
    <phoneticPr fontId="7" type="noConversion"/>
  </si>
  <si>
    <t>Ferno A, Jorgensen T, Lokkeborg S, Winger PD (2011) Variable swimming speeds in individual Atlantic cod (Gadus morhua L.) determined by high-resolution acoustic tracking. Mar Biol Res 7(3):310-313.</t>
    <phoneticPr fontId="7" type="noConversion"/>
  </si>
  <si>
    <t>Block BA, et al. (2001) Migratory movements, depth preferences, and thermal biology of Atlantic bluefin tuna. Science 293(5533):1310-1314.</t>
    <phoneticPr fontId="7" type="noConversion"/>
  </si>
  <si>
    <t>Schaefer KM, Fuller DW (2002) Movements, behavior, and habitat selection of bigeye tuna (Thunnus obesus) in the eastern equatorial Pacific, ascertained through archival tags. Fish Bull 100(4):765-788.</t>
    <phoneticPr fontId="7" type="noConversion"/>
  </si>
  <si>
    <t>Brill RW, et al. (1999) Horizontal movements and depth distribution of large adult yellowfin tuna (Thunnus albacares) near the Hawaiian Islands, recorded using ultrasonic telemetry: implications for the physiological ecology of pelagic fishes. Mar Biol 133(3):395-408.</t>
    <phoneticPr fontId="7" type="noConversion"/>
  </si>
  <si>
    <t>Dagorn L, Bach P, Josse E (2000) Movement patterns of large bigeye tuna (Thunnus obesus) in the open ocean, determined using ultrasonic telemetry. Mar Biol 136(2):361-371.</t>
    <phoneticPr fontId="7" type="noConversion"/>
  </si>
  <si>
    <t>Musyl MK, et al. (2003) Vertical movements of bigeye tuna (Thunnus obesus) associated with islands, buoys, and seamounts near the main Hawaiian Islands from archival tagging data. Fish Oceanogr 12(3):152-169.</t>
    <phoneticPr fontId="7" type="noConversion"/>
  </si>
  <si>
    <t>Holland KN, Brill RW, Chang RKC (1990) Horizontal and vertical movements of yellowfin tuna and bigeye tuna associated with fish aggregating devices. Fish Bull 88(3):493-507.</t>
    <phoneticPr fontId="7" type="noConversion"/>
  </si>
  <si>
    <t>Itano DG (2000) The reproductive biology of yellowfin tuna (Thunnus albacares) in the eastern Pacific Ocean. Inter-American Tropical Tuna Commission Bulletin 21(5):1-131.</t>
    <phoneticPr fontId="7" type="noConversion"/>
  </si>
  <si>
    <t>Cayre P (1991) Behaviour of yellowfin tuna (Thunnus albacares) and skipjack tuna (Katsuwonus pelamis) around fish aggregating devices (FADs) in the Comoros Islands as determined by ultrasonic tagging. Aquat Living Resour 4(1):1-12.</t>
    <phoneticPr fontId="7" type="noConversion"/>
  </si>
  <si>
    <t>Ohta I, Kakuma S (2005) Periodic behavior and residence time of yellowfin and bigeye tuna associated with fish aggregating devices around Okinawa Islands, as identified with automated listening stations. Mar Biol 146(3):581-594.</t>
    <phoneticPr fontId="7" type="noConversion"/>
  </si>
  <si>
    <t>Matsumoto T, Okamoto H, Toyonaga M (2005) Swimming behavior of adult yellowfin tuna Thunnus albacares in the waters off Nansei Islands, southwestern Japan, as recorded by a biotelemetry system. Fish Sci 71(2):448-455.</t>
    <phoneticPr fontId="7" type="noConversion"/>
  </si>
  <si>
    <t>Brill RW, et al. (2002) Horizontal and vertical movements of striped marlin (Tetrapturus audax) in the Hawaiian Islands, determined by ultrasonic telemetry. Mar Biol 141(5):1009-1019.</t>
    <phoneticPr fontId="7" type="noConversion"/>
  </si>
  <si>
    <t>Domeier ML, Kiefer D, Nasby-Lucas N, et al. (2005) Tracking Pacific bluefin tuna (Thunnus thynnus orientalis) in the northeastern Pacific with an automated algorithm that estimates latitude by matching sea-surface-temperature data from satellites with temperature data from tags on fish. Mar Biol 148(3):599-615.</t>
    <phoneticPr fontId="7" type="noConversion"/>
  </si>
  <si>
    <t>Block BA, et al. (2011) Tracking apex marine predator movements in a dynamic ocean. Nature 475(7354):86-90.</t>
    <phoneticPr fontId="7" type="noConversion"/>
  </si>
  <si>
    <t>Marcinek DJ, et al. (2001) Depth and muscle temperature of Pacific bluefin tuna examined with acoustic and pop-up satellite archival tags. Mar Biol 138(4):869-885.</t>
    <phoneticPr fontId="7" type="noConversion"/>
  </si>
  <si>
    <t>Newlands NK, Lutcavage ME, Pitcher TJ (2004) Analysis of foraging movements of Atlantic bluefin tuna (Thunnus thynnus): Individuals switch between two modes of search behaviour. Popul Ecol 46(1):39-53.</t>
    <phoneticPr fontId="7" type="noConversion"/>
  </si>
  <si>
    <t>Marsac F, Cayre P (1998) Telemetry applied to behaviour analysis of yellowfin tuna (Thunnus albacares, Bonnaterre, 1788) movements in a network of fish aggregating devices. Hydrobiologia 372:155-171.</t>
    <phoneticPr fontId="7" type="noConversion"/>
  </si>
  <si>
    <t>Semmens JM, Payne NL, Huveneers C, Sims DW, Bruce BD (2013) Feeding requirements of white sharks may be higher than originally thought. Sci Rep 3:1471.</t>
    <phoneticPr fontId="7" type="noConversion"/>
  </si>
  <si>
    <t>Sepulveda CA, Kohin S, Chan C, Vetter R, Graham JB (2004) Movement patterns, depth preferences, and stomach temperatures of free-swimming juvenile mako sharks, Isurus oxyrinchus, in the Southern California Bight. Mar Biol 145(1):191-199.</t>
    <phoneticPr fontId="7" type="noConversion"/>
  </si>
  <si>
    <t>Watanabe, Y. Y. , Goldman, K. J. , Caselle, J. E. , Chapman, D. D. , &amp; Papastamatiou, Y. P. . (2015). Comparative analyses of animal-tracking data reveal ecological significance of endothermy in fishes. Proceedings of the National Academy of Sciences of the United States of America, 112(19).</t>
    <phoneticPr fontId="7" type="noConversion"/>
  </si>
  <si>
    <t>Motta, P. J. , Maslanka, M. , Hueter, R. E. , Davis, R. L. , Parra, R. D. L. , &amp; Mulvany, S. L. , et al. (2010). Feeding anatomy, filter-feeding rate, and diet of whale sharks rhincodon typus during surface ram filter feeding off the yucatan peninsula, mexico. Zoology, 113(4), 199-212.</t>
    <phoneticPr fontId="7" type="noConversion"/>
  </si>
  <si>
    <t>Waller, M. J. , Queiroz, N. , &amp; da Costa, IvoCidade, TiagoLoureiro, BrunoWomersley, Freya C.Fontes, JorgeAfonso, PedroMacena, Bruno C. L.Loveridge, AlexandraHumphries, Nicolas E.Southall, Emily J.Sims, David W. (2023). Direct measurement of cruising and burst swimming speeds of the shortfin mako shark ( isurus oxyrinchus ) with estimates of field metabolic rate. Journal of Fish Biology, 103(5), 864-883.</t>
    <phoneticPr fontId="7" type="noConversion"/>
  </si>
  <si>
    <t>Watanabe, Yuuki Y.Payne, Nicholas L.Semmens, Jayson M.Fox, AndrewHuveneers, Charlie. (2019). Swimming strategies and energetics of endothermic white sharks during foraging. The Journal of Experimental Biology, 222(4).</t>
    <phoneticPr fontId="7" type="noConversion"/>
  </si>
  <si>
    <t>Takahashi, A., Costa, D. P., Bost, C. A., &amp; Trathan, P. N. (2007). Stroke frequency, but not swimming speed, is related to body size in free-ranging seabirds, pinnipeds and cetaceans. Proc R Soc B, 274, 471-477.</t>
    <phoneticPr fontId="7" type="noConversion"/>
  </si>
  <si>
    <t>DOI:10.1098/rspb.2006.0006</t>
    <phoneticPr fontId="7" type="noConversion"/>
  </si>
  <si>
    <t>Reference Source</t>
    <phoneticPr fontId="7" type="noConversion"/>
  </si>
  <si>
    <t>Lepidochelys kempi</t>
    <phoneticPr fontId="7" type="noConversion"/>
  </si>
  <si>
    <t>satellite transmitte</t>
    <phoneticPr fontId="7" type="noConversion"/>
  </si>
  <si>
    <t>Renaud, M. L. (1995). Movements and submergence patterns of Kemp's ridley turtles (Lepidochelys kempii). Journal of Herpetology, 370-374.</t>
    <phoneticPr fontId="7" type="noConversion"/>
  </si>
  <si>
    <t>Caretta caretta</t>
    <phoneticPr fontId="7" type="noConversion"/>
  </si>
  <si>
    <t>Renaud, M. L. , &amp; Carpenter, J. A. . (1994). Movements and submergence patterns of loggerhead turtles (caretta caretta) in the gulf of mexico determined through satellite telemetry. Bulletin of Marine Science -Miami-.</t>
    <phoneticPr fontId="7" type="noConversion"/>
  </si>
  <si>
    <t>Bartholomew, G. A., Bennett, A. F., &amp; Dawson, W. R. (1976). Swimming, diving and lactate production of the marine iguana, Amblyrhynchus cristatus. Copeia, 709-720.</t>
    <phoneticPr fontId="7" type="noConversion"/>
  </si>
  <si>
    <t>Amblyrhynchuscristatus（Adult）</t>
    <phoneticPr fontId="8" type="noConversion"/>
  </si>
  <si>
    <t>Watanabe, Y. Y., Reyier, E. A., Lowers, R. H., Imhoff, J. L., &amp; Papastamatiou, Y. P. (2013). Behavior of American alligators monitored by multi-sensor data loggers. Aquatic Biology, 18(1), 1-8.</t>
    <phoneticPr fontId="7" type="noConversion"/>
  </si>
  <si>
    <t>a=</t>
    <phoneticPr fontId="7" type="noConversion"/>
  </si>
  <si>
    <t>deltaH/-deltaC</t>
    <phoneticPr fontId="7" type="noConversion"/>
  </si>
  <si>
    <t>Topt=</t>
    <phoneticPr fontId="7" type="noConversion"/>
  </si>
  <si>
    <t>deltaC=</t>
    <phoneticPr fontId="7" type="noConversion"/>
  </si>
  <si>
    <t>deltaH=</t>
    <phoneticPr fontId="7" type="noConversion"/>
  </si>
  <si>
    <t>-14418.93</t>
    <phoneticPr fontId="7" type="noConversion"/>
  </si>
  <si>
    <t>-9039</t>
    <phoneticPr fontId="7" type="noConversion"/>
  </si>
  <si>
    <t>R=8.314</t>
    <phoneticPr fontId="7" type="noConversion"/>
  </si>
  <si>
    <t>Jos´e Ignacio Arroyo.2022</t>
    <phoneticPr fontId="7" type="noConversion"/>
  </si>
  <si>
    <t>kleiber</t>
    <phoneticPr fontId="7" type="noConversion"/>
  </si>
  <si>
    <t>Hirt</t>
    <phoneticPr fontId="7" type="noConversion"/>
  </si>
  <si>
    <r>
      <rPr>
        <sz val="14"/>
        <color theme="1"/>
        <rFont val="等线"/>
        <family val="3"/>
        <charset val="134"/>
        <scheme val="minor"/>
      </rPr>
      <t>Y</t>
    </r>
    <r>
      <rPr>
        <sz val="16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charset val="134"/>
        <scheme val="minor"/>
      </rPr>
      <t>=</t>
    </r>
    <phoneticPr fontId="7" type="noConversion"/>
  </si>
  <si>
    <r>
      <t>(</t>
    </r>
    <r>
      <rPr>
        <sz val="12"/>
        <color theme="1"/>
        <rFont val="等线"/>
        <family val="3"/>
        <charset val="134"/>
        <scheme val="minor"/>
      </rPr>
      <t>T</t>
    </r>
    <r>
      <rPr>
        <sz val="16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</rPr>
      <t>×</t>
    </r>
    <r>
      <rPr>
        <sz val="11"/>
        <color theme="1"/>
        <rFont val="等线"/>
        <family val="2"/>
        <charset val="134"/>
        <scheme val="minor"/>
      </rPr>
      <t>e^(1/T</t>
    </r>
    <r>
      <rPr>
        <sz val="16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charset val="134"/>
        <scheme val="minor"/>
      </rPr>
      <t>-1))^a</t>
    </r>
    <phoneticPr fontId="7" type="noConversion"/>
  </si>
  <si>
    <t>T*=T/Topt</t>
    <phoneticPr fontId="7" type="noConversion"/>
  </si>
  <si>
    <t>T*
（Jos´e Ignacio Arroyo.2022）</t>
    <phoneticPr fontId="7" type="noConversion"/>
  </si>
  <si>
    <t>Total</t>
    <phoneticPr fontId="7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</si>
  <si>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</si>
  <si>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</si>
  <si>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</si>
  <si>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</si>
  <si>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</si>
  <si>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</si>
  <si>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</si>
  <si>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</si>
  <si>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</si>
  <si>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</si>
  <si>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</si>
  <si>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</si>
  <si>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</si>
  <si>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</si>
  <si>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</si>
  <si>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</si>
  <si>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</si>
  <si>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</si>
  <si>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</si>
  <si>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</si>
  <si>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</si>
  <si>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</si>
  <si>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</si>
  <si>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</si>
  <si>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RESIDUAL OUTPUT</t>
  </si>
  <si>
    <t>预测 0.48</t>
  </si>
  <si>
    <t>标准残差</t>
  </si>
  <si>
    <t>PROBABILITY OUTPUT</t>
  </si>
  <si>
    <t>百分比排位</t>
  </si>
  <si>
    <t>248.81~247.66Ma</t>
    <phoneticPr fontId="8" type="noConversion"/>
  </si>
  <si>
    <t>245ma-N20.98--E103.27</t>
    <phoneticPr fontId="8" type="noConversion"/>
  </si>
  <si>
    <t>0.214/0.4</t>
    <phoneticPr fontId="8" type="noConversion"/>
  </si>
  <si>
    <t>AGB 6257.----Motani, R., Jiang, D.-Y., Chen, X.-H., Tintori, A., Rieppel, O., Huang, J.-D., … (2014). A basal ichthyosauriform with a short snout from the Lower Triassic of China. Nature.</t>
    <phoneticPr fontId="8" type="noConversion"/>
  </si>
  <si>
    <t>245ma-N20.98--E103.28</t>
    <phoneticPr fontId="8" type="noConversion"/>
  </si>
  <si>
    <t>1.59/1.6</t>
    <phoneticPr fontId="8" type="noConversion"/>
  </si>
  <si>
    <t>AGB 6265.----Jiang D.-Y., Motani R., Huang J.-D., Tintori A., Hu Y.-C., Rieppel O., Fraser N.C., Ji C., Kelley N.P., Fu W.-L. &amp; Zhang R. (2016). A large aberrant stem ichthyosauriform indicating early rise and demise of ichthyosauromorphs in the wake of the end-Permian extinction. Scientific Reports, 6, 26232.</t>
    <phoneticPr fontId="8" type="noConversion"/>
  </si>
  <si>
    <t>248.53~248.34Ma</t>
    <phoneticPr fontId="8" type="noConversion"/>
  </si>
  <si>
    <t>245ma-S11.09--E97.21</t>
    <phoneticPr fontId="8" type="noConversion"/>
  </si>
  <si>
    <t>none/1.5</t>
    <phoneticPr fontId="8" type="noConversion"/>
  </si>
  <si>
    <t>TF2454.----Mazin, J.-M., Suteethorn V., Buffetaut E., Jaeger J.-J. &amp; Helmcke-Ingavat R. (1991). “Preliminary description of Thaisaurus chonglakmanii n. g., n. sp., a new ichthyopterygian (Reptilia) from the Early Triassic of Thailand.” Comptes Rendus de l’Académie des Sciences, Série II, 313, 1207-1212.</t>
    <phoneticPr fontId="8" type="noConversion"/>
  </si>
  <si>
    <t>Chaohusaurus zhangjiawanensis</t>
    <phoneticPr fontId="8" type="noConversion"/>
  </si>
  <si>
    <t>245ma-N18.56--E101.45</t>
    <phoneticPr fontId="8" type="noConversion"/>
  </si>
  <si>
    <t>1/1</t>
    <phoneticPr fontId="8" type="noConversion"/>
  </si>
  <si>
    <t>WHGMR V26001.----Xiaohong et al. (2013). “A new Triassic primitive ichthyosauriform from Yuan’an, South China.” Acta Geologica Sinica (English Edition), 87(3): 672-677.</t>
    <phoneticPr fontId="8" type="noConversion"/>
  </si>
  <si>
    <t>245ma-N18.56--E101.46</t>
    <phoneticPr fontId="8" type="noConversion"/>
  </si>
  <si>
    <t>1.8/1.8</t>
    <phoneticPr fontId="8" type="noConversion"/>
  </si>
  <si>
    <t>IVPP V 4001.----Yang Zhongjian &amp; Dong Zhiming（1972）“Chaohusaurus geishanensis n. g. n. sp.”。</t>
    <phoneticPr fontId="8" type="noConversion"/>
  </si>
  <si>
    <t>245ma-N18.56--E101.47</t>
    <phoneticPr fontId="8" type="noConversion"/>
  </si>
  <si>
    <t>none/1.3</t>
    <phoneticPr fontId="8" type="noConversion"/>
  </si>
  <si>
    <t>AGM AGB2905.----Chen, L. (1985). Ichthyosaurs from the lower Triassic of Chao County. Anhui Regional Geology of China.</t>
    <phoneticPr fontId="8" type="noConversion"/>
  </si>
  <si>
    <t>Chaohusaurus brevifemoralis</t>
    <phoneticPr fontId="8" type="noConversion"/>
  </si>
  <si>
    <t>245ma-N18.56--E101.48</t>
    <phoneticPr fontId="8" type="noConversion"/>
  </si>
  <si>
    <t>none/1</t>
    <phoneticPr fontId="8" type="noConversion"/>
  </si>
  <si>
    <t>AGM AGB7401.----Huang J.-D., Motani R., Jiang D.-Y., Tintori A., Rieppel O., Zhou M., Ren X.-X., Zhang R. (2019). “The new ichthyosauriform Chaohusaurus brevifemoralis (Reptilia, Ichthyosauromorpha) from Majiashan, Chaohu, Anhui Province, China.” PeerJ, 7:e7561. DOI:10.7717/peerj.7561.</t>
    <phoneticPr fontId="8" type="noConversion"/>
  </si>
  <si>
    <t>Isfjordosaurus minor</t>
    <phoneticPr fontId="8" type="noConversion"/>
  </si>
  <si>
    <t>247.9Ma</t>
    <phoneticPr fontId="8" type="noConversion"/>
  </si>
  <si>
    <t>none</t>
    <phoneticPr fontId="8" type="noConversion"/>
  </si>
  <si>
    <t>none/none</t>
    <phoneticPr fontId="8" type="noConversion"/>
  </si>
  <si>
    <t>Motani, R. (1999). Phylogeny of the Ichthyopterygia. Journal of Vertebrate Paleontology, 19(3): 473-496.</t>
    <phoneticPr fontId="8" type="noConversion"/>
  </si>
  <si>
    <t>Omphalosaurus peyeri</t>
    <phoneticPr fontId="8" type="noConversion"/>
  </si>
  <si>
    <t>244.2~244Ma</t>
    <phoneticPr fontId="8" type="noConversion"/>
  </si>
  <si>
    <t>245ma-N18.76--E19.88</t>
    <phoneticPr fontId="8" type="noConversion"/>
  </si>
  <si>
    <r>
      <t>GSUB V 1427.----Michael W. Maisch &amp; Wolf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Dietrich Lehmann (2002). “Omphalosaurus peyeri n. sp., ein neuer Omphalosauridae (Reptilia, Ichthyopterygia) aus dem Mittel-Anis der Rüdersdorfer Schaumkalk-Bank (Brandenburg, Deutschland)”. Neues Jahrbuch für Geologie und Paläontologie – Monatshefte, 2002, 页码 (?).</t>
    </r>
    <phoneticPr fontId="8" type="noConversion"/>
  </si>
  <si>
    <t>Omphalosaurus merriami</t>
    <phoneticPr fontId="8" type="noConversion"/>
  </si>
  <si>
    <t>247.9~247.4Ma</t>
    <phoneticPr fontId="8" type="noConversion"/>
  </si>
  <si>
    <t>Maisch, M. W. (2010). “Two Records of Omphalosaurus from the Muschelkalk – The Reconstruction of Triassic Marine Ecosystems Based on Teeth”, 在 Palaeodiversity 3: 151–214</t>
    <phoneticPr fontId="8" type="noConversion"/>
  </si>
  <si>
    <t>Omphalosaurus nettarhynchus</t>
    <phoneticPr fontId="8" type="noConversion"/>
  </si>
  <si>
    <t>247.8~247.2Ma</t>
    <phoneticPr fontId="8" type="noConversion"/>
  </si>
  <si>
    <t>245ma-N.5.14--W.42.95</t>
    <phoneticPr fontId="8" type="noConversion"/>
  </si>
  <si>
    <r>
      <t>Mazin, J.-M. &amp;</t>
    </r>
    <r>
      <rPr>
        <b/>
        <sz val="11"/>
        <color theme="3"/>
        <rFont val="Calibri"/>
        <family val="3"/>
      </rPr>
      <t> Bucher, H. (1987). Omphalosaurus nettarhynchus n. sp., une nouvelle esp</t>
    </r>
    <r>
      <rPr>
        <b/>
        <sz val="11"/>
        <color theme="3"/>
        <rFont val="等线"/>
        <family val="3"/>
        <charset val="134"/>
        <scheme val="minor"/>
      </rPr>
      <t>èce d’Omphalosauridé (Reptilia, Ichthyopterygia) du Spathien de la Humboldt Range (Nevada, USA). Comptes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rendus de l’Académie des Sciences (Paris) Série</t>
    </r>
    <r>
      <rPr>
        <b/>
        <sz val="11"/>
        <color theme="3"/>
        <rFont val="Calibri"/>
        <family val="3"/>
      </rPr>
      <t> II, 305: 823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828.</t>
    </r>
    <phoneticPr fontId="8" type="noConversion"/>
  </si>
  <si>
    <t>244~242Ma</t>
    <phoneticPr fontId="8" type="noConversion"/>
  </si>
  <si>
    <t>245ma-N.9.99--W.46.15</t>
    <phoneticPr fontId="8" type="noConversion"/>
  </si>
  <si>
    <t>none/2</t>
    <phoneticPr fontId="8" type="noConversion"/>
  </si>
  <si>
    <r>
      <t>Merriam,</t>
    </r>
    <r>
      <rPr>
        <b/>
        <sz val="11"/>
        <color theme="3"/>
        <rFont val="Calibri"/>
        <family val="3"/>
      </rPr>
      <t> J. C. (1906). Preliminary note on a new marine reptile from the Middle Triassic of Nevada. University of California Publications in Geological Sciences, 5(5), 71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79.</t>
    </r>
    <phoneticPr fontId="8" type="noConversion"/>
  </si>
  <si>
    <t>242~239.1Ma</t>
    <phoneticPr fontId="8" type="noConversion"/>
  </si>
  <si>
    <t>240ma-N.14.81--E.21.32</t>
    <phoneticPr fontId="8" type="noConversion"/>
  </si>
  <si>
    <t>2/3.5</t>
    <phoneticPr fontId="8" type="noConversion"/>
  </si>
  <si>
    <r>
      <t>Ein früher, durophager Ichthyosaurier (Omphalosauridae) aus der Mitteltrias der Alpen (Festschrift zum</t>
    </r>
    <r>
      <rPr>
        <b/>
        <sz val="11"/>
        <color theme="3"/>
        <rFont val="Calibri"/>
        <family val="3"/>
      </rPr>
      <t> 60. Geburtstag von Helfried Mostler). Geol. Pal</t>
    </r>
    <r>
      <rPr>
        <b/>
        <sz val="11"/>
        <color theme="3"/>
        <rFont val="等线"/>
        <family val="3"/>
        <charset val="134"/>
        <scheme val="minor"/>
      </rPr>
      <t>äont.</t>
    </r>
    <r>
      <rPr>
        <b/>
        <sz val="11"/>
        <color theme="3"/>
        <rFont val="Calibri"/>
        <family val="3"/>
      </rPr>
      <t> Mitt. Innsbruck, 20: 349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369.</t>
    </r>
    <phoneticPr fontId="8" type="noConversion"/>
  </si>
  <si>
    <t>245~237Ma</t>
    <phoneticPr fontId="8" type="noConversion"/>
  </si>
  <si>
    <t>245ma-N.25.48-W.31.25
240ma-N.25.04--W.34.95</t>
    <phoneticPr fontId="8" type="noConversion"/>
  </si>
  <si>
    <r>
      <t>Nicholls,</t>
    </r>
    <r>
      <rPr>
        <b/>
        <sz val="11"/>
        <color theme="3"/>
        <rFont val="Calibri"/>
        <family val="3"/>
      </rPr>
      <t> E. L. &amp; Brinkman, D. B. (1995). “A new ichthyosaur from the Triassic Sulphur Mountain Formation of British Columbia.” In: W. A. S. Sarjeant (ed.), Vertebrate Fossils and the Evolution of Scientific Concepts, Chapter 31: 521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535.</t>
    </r>
    <phoneticPr fontId="8" type="noConversion"/>
  </si>
  <si>
    <t>2/3</t>
    <phoneticPr fontId="8" type="noConversion"/>
  </si>
  <si>
    <r>
      <t>Shikama,</t>
    </r>
    <r>
      <rPr>
        <b/>
        <sz val="11"/>
        <color theme="3"/>
        <rFont val="Calibri"/>
        <family val="3"/>
      </rPr>
      <t> T., Kamei, T. &amp; Murata, M. (1978). Early Triassic ichthyosaurus, Utatsusaurus hataii gen. et sp. nov., from the Kitakami Massif, Northeast Japan. Science Reports of the Tohoku University, Second Series, Geology, 48(1/2): 77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97.</t>
    </r>
    <phoneticPr fontId="8" type="noConversion"/>
  </si>
  <si>
    <t>250.2~247.2Ma</t>
    <phoneticPr fontId="8" type="noConversion"/>
  </si>
  <si>
    <t>245ma-N.25.48-W.31.25</t>
    <phoneticPr fontId="8" type="noConversion"/>
  </si>
  <si>
    <t>1.5/1.5</t>
    <phoneticPr fontId="8" type="noConversion"/>
  </si>
  <si>
    <r>
      <t>TMP</t>
    </r>
    <r>
      <rPr>
        <b/>
        <sz val="11"/>
        <color theme="3"/>
        <rFont val="Calibri"/>
        <family val="3"/>
      </rPr>
      <t> 89.127.3.----</t>
    </r>
    <r>
      <rPr>
        <b/>
        <sz val="11"/>
        <color theme="3"/>
        <rFont val="等线"/>
        <family val="3"/>
        <charset val="134"/>
        <scheme val="minor"/>
      </rPr>
      <t>Cuthbertson,</t>
    </r>
    <r>
      <rPr>
        <b/>
        <sz val="11"/>
        <color theme="3"/>
        <rFont val="Calibri"/>
        <family val="3"/>
      </rPr>
      <t> R. S., Russell, A. P., &amp; Anderson, J. S. (2013). Cranial morphology and relationships of a new grippidian (Ichthyopterygia) from the Vega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Phroso Siltstone Member (Lower Triassic) of British Columbia, Canada. Journal of Vertebrate Paleontology, 33(4), 831–847.</t>
    </r>
    <phoneticPr fontId="8" type="noConversion"/>
  </si>
  <si>
    <t>Wiman, C. 1929. Eine neue marine Reptilien-Ordnung aus der Trias Spitzbergens. Bulletin of the Geological Institutions of the University of Uppsala, vol. 22: 183–196</t>
    <phoneticPr fontId="8" type="noConversion"/>
  </si>
  <si>
    <t>none/0.5</t>
    <phoneticPr fontId="8" type="noConversion"/>
  </si>
  <si>
    <t>MNHN Nr. SVT 331.----Maisch, M. W. &amp; Matzke, A. T. (2003). “Observations on Triassic ichthyosaurs. Part XII. A new Early Triassic ichthyosaur genus from Spitzbergen [sic].” Neues Jahrbuch für Geologie und Paläontologie – Abhandlungen, 229(3): 317-338.</t>
    <phoneticPr fontId="8" type="noConversion"/>
  </si>
  <si>
    <t>Tholodus schmidi</t>
    <phoneticPr fontId="8" type="noConversion"/>
  </si>
  <si>
    <t>244.9~242.4Ma</t>
    <phoneticPr fontId="8" type="noConversion"/>
  </si>
  <si>
    <t>245ma-N15.33--E20.89</t>
    <phoneticPr fontId="8" type="noConversion"/>
  </si>
  <si>
    <t xml:space="preserve">von Meyer, H. (1851). ----Fossile Fische aus dem Muschelkalk von Jena, Querfurt und Esperstadt. Palaeontographica (1): 195–208. </t>
    <phoneticPr fontId="8" type="noConversion"/>
  </si>
  <si>
    <t>Xinminosaurus timorensis</t>
    <phoneticPr fontId="8" type="noConversion"/>
  </si>
  <si>
    <t>247.2~237Ma</t>
    <phoneticPr fontId="8" type="noConversion"/>
  </si>
  <si>
    <t xml:space="preserve">245ma-S32.69--E117.81
240ma-S.30.17--E119.78
235ma--S.29.58--E.114.29
</t>
    <phoneticPr fontId="8" type="noConversion"/>
  </si>
  <si>
    <t>NBC-RBM 14690／14691.----Friedrich von Huene. E. (1935). Mosasaurier-Zähne von Timor. Zentralblatt für Mineralogie, Geologie und Paläontologie, 1935(B10): 412-416.</t>
    <phoneticPr fontId="8" type="noConversion"/>
  </si>
  <si>
    <t>244.9~244Ma</t>
    <phoneticPr fontId="8" type="noConversion"/>
  </si>
  <si>
    <t>245ma-N10.49--E99.84</t>
    <phoneticPr fontId="8" type="noConversion"/>
  </si>
  <si>
    <t>2.32/2.3</t>
    <phoneticPr fontId="8" type="noConversion"/>
  </si>
  <si>
    <t>GMPKU-P-1071.----Jiang, D., Motani, R., Hao, W., Schmitz, L., Rieppel, O., Sun, Y., &amp; Sun, Z. (2008). New primitive ichthyosaurian (Reptilia, Diapsida) from the Middle Triassic of Panxian, Guizhou, southwestern China and its position in the Triassic biotic recovery. Progress in Natural Science.</t>
    <phoneticPr fontId="8" type="noConversion"/>
  </si>
  <si>
    <t>245ma-N10.49--E99.85</t>
    <phoneticPr fontId="8" type="noConversion"/>
  </si>
  <si>
    <t>0.9/1</t>
    <phoneticPr fontId="8" type="noConversion"/>
  </si>
  <si>
    <t>GMPKU-P-1033.----Jiang, D.–Y., Schmitz, L., Hao, W.–C. &amp; Sun, Y.–L. (2006). A new Mixosaurid Ichthyosaur from the Middle Triassic of China. Journal of Vertebrate Paleontology, 26(1): 60-69.</t>
    <phoneticPr fontId="8" type="noConversion"/>
  </si>
  <si>
    <t>Mixosaurus xindianensis</t>
    <phoneticPr fontId="8" type="noConversion"/>
  </si>
  <si>
    <t>245ma-N10.69--E100.24</t>
    <phoneticPr fontId="8" type="noConversion"/>
  </si>
  <si>
    <t>YIGM SPC V-0732.----Chen, X.-H. &amp; Cheng, L. (2010). A new species of Mixosaurus (Reptilia: Ichthyosauria) from the Middle Triassic of Pu’an, Guizhou, China. Acta Palaeontologica Sinica, 2, 251-260.</t>
    <phoneticPr fontId="8" type="noConversion"/>
  </si>
  <si>
    <t>242.6~242Ma</t>
    <phoneticPr fontId="8" type="noConversion"/>
  </si>
  <si>
    <t>245ma-N5.42--E.21.15
240ma-N.6.15--E19.79</t>
    <phoneticPr fontId="8" type="noConversion"/>
  </si>
  <si>
    <t>1/1.5</t>
    <phoneticPr fontId="8" type="noConversion"/>
  </si>
  <si>
    <r>
      <t>PIMUZ T 2420.----Bassani, F. (1886). Ichthyosaurus</t>
    </r>
    <r>
      <rPr>
        <b/>
        <sz val="11"/>
        <color theme="3"/>
        <rFont val="Calibri"/>
        <family val="3"/>
      </rPr>
      <t> cornalianus from the Besano region (Italy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Switzerland).</t>
    </r>
    <phoneticPr fontId="8" type="noConversion"/>
  </si>
  <si>
    <t>Mixosaurus kuhnschnyderi</t>
    <phoneticPr fontId="8" type="noConversion"/>
  </si>
  <si>
    <t>245ma-N5.42--E.21.15
240ma-N.6.15--E19.80</t>
    <phoneticPr fontId="8" type="noConversion"/>
  </si>
  <si>
    <r>
      <t>PIMUZ</t>
    </r>
    <r>
      <rPr>
        <b/>
        <sz val="11"/>
        <color theme="3"/>
        <rFont val="Calibri"/>
        <family val="3"/>
      </rPr>
      <t> T 1324.</t>
    </r>
    <r>
      <rPr>
        <b/>
        <sz val="11"/>
        <color theme="3"/>
        <rFont val="等线"/>
        <family val="3"/>
        <charset val="134"/>
        <scheme val="minor"/>
      </rPr>
      <t>Brinkmann,</t>
    </r>
    <r>
      <rPr>
        <b/>
        <sz val="11"/>
        <color theme="3"/>
        <rFont val="Calibri"/>
        <family val="3"/>
      </rPr>
      <t> W. (1998). “Mixosaurus kuhnschnyderi n. sp., ein neuer Mixosaurier (Reptilia: Ichthyopterygia) vom Mittel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Trias (Anis) der Monte</t>
    </r>
    <r>
      <rPr>
        <b/>
        <sz val="11"/>
        <color theme="3"/>
        <rFont val="Calibri"/>
        <family val="3"/>
      </rPr>
      <t> San Giorgio/ Schweiz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 xml:space="preserve">Italien”. Veröffentlichungen der Paläontologischen Gesellschaft Schweiz, </t>
    </r>
    <phoneticPr fontId="8" type="noConversion"/>
  </si>
  <si>
    <t>246.3~244Ma</t>
    <phoneticPr fontId="8" type="noConversion"/>
  </si>
  <si>
    <t>245ma-N5.42--E.21.15</t>
    <phoneticPr fontId="8" type="noConversion"/>
  </si>
  <si>
    <r>
      <t>Liu</t>
    </r>
    <r>
      <rPr>
        <b/>
        <sz val="11"/>
        <color theme="3"/>
        <rFont val="Calibri"/>
        <family val="3"/>
      </rPr>
      <t> J., Motani R., Jiang D., Hu S., Aitchison J.C., Rieppel O., Benton M.J., Zhang Q., Zhou C.-Y. (2013). The first specimen of the Middle Triassic Phalarodon atavus (Ichthyosauria: Mixosauridae) from South China, showing postcranial anatomy and peri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Tethyan distribution.</t>
    </r>
    <r>
      <rPr>
        <b/>
        <sz val="11"/>
        <color theme="3"/>
        <rFont val="Calibri"/>
        <family val="3"/>
      </rPr>
      <t> Palaeontology, 56(4), 849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866. DOI:10.1111/pala.12021.</t>
    </r>
    <phoneticPr fontId="8" type="noConversion"/>
  </si>
  <si>
    <t>Phalarodon fraasi</t>
    <phoneticPr fontId="8" type="noConversion"/>
  </si>
  <si>
    <t>245ma--N.5.14--W.42.95
240ma--N.7.5--W43.72</t>
    <phoneticPr fontId="8" type="noConversion"/>
  </si>
  <si>
    <r>
      <t>Engelschiøn,</t>
    </r>
    <r>
      <rPr>
        <b/>
        <sz val="11"/>
        <color theme="3"/>
        <rFont val="Calibri"/>
        <family val="3"/>
      </rPr>
      <t> V.S. &amp; Hurum, J.H. (2022). “First three‐dimensional skull of the Middle Triassic mixosaurid ichthyosaur Phalarodon fraasi from Svalbard, Norway.” Acta Palaeontologica Polonica, 67(1): 51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62. DOI:10.4202/app.00915.2021.</t>
    </r>
    <phoneticPr fontId="8" type="noConversion"/>
  </si>
  <si>
    <t>245ma--N.10.40--W.43.57
240ma--N.6.8--W.43.94</t>
    <phoneticPr fontId="8" type="noConversion"/>
  </si>
  <si>
    <r>
      <t>CMC</t>
    </r>
    <r>
      <rPr>
        <b/>
        <sz val="11"/>
        <color theme="3"/>
        <rFont val="Calibri"/>
        <family val="3"/>
      </rPr>
      <t> VP 7275.----</t>
    </r>
    <r>
      <rPr>
        <b/>
        <sz val="11"/>
        <color theme="3"/>
        <rFont val="等线"/>
        <family val="3"/>
        <charset val="134"/>
        <scheme val="minor"/>
      </rPr>
      <t>Schmitz,</t>
    </r>
    <r>
      <rPr>
        <b/>
        <sz val="11"/>
        <color theme="3"/>
        <rFont val="Calibri"/>
        <family val="3"/>
      </rPr>
      <t> L., Sander, P. M., Storrs, G. W. &amp; Rieppel, O. (2004). A new mixosaurid ichthyosaur (Reptilia: Ichthyosauria) from the Middle Triassic of Nevada, USA, and the generic phylogeny of the Mixosauridae. Palaeontographica Abteilung A, 269(1–3): 1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46.</t>
    </r>
    <phoneticPr fontId="8" type="noConversion"/>
  </si>
  <si>
    <t>Pessopteryx nisseri</t>
    <phoneticPr fontId="8" type="noConversion"/>
  </si>
  <si>
    <t>none/none</t>
  </si>
  <si>
    <r>
      <t>Wiman, C. (1910). Ichthyosaurier aus der Trias Spitzbergens. Bulletin of the Geological Institution of the University of Uppsala, 10: 1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77.</t>
    </r>
    <phoneticPr fontId="8" type="noConversion"/>
  </si>
  <si>
    <t>245ma--N5.42--E.21.15
240ma--N.6.15--E19.79</t>
    <phoneticPr fontId="8" type="noConversion"/>
  </si>
  <si>
    <t>5.5/5.5</t>
    <phoneticPr fontId="8" type="noConversion"/>
  </si>
  <si>
    <r>
      <t>PIMUZ</t>
    </r>
    <r>
      <rPr>
        <b/>
        <sz val="11"/>
        <color theme="3"/>
        <rFont val="Calibri"/>
        <family val="3"/>
      </rPr>
      <t> T 4351.----</t>
    </r>
    <r>
      <rPr>
        <b/>
        <sz val="11"/>
        <color theme="3"/>
        <rFont val="等线"/>
        <family val="3"/>
        <charset val="134"/>
        <scheme val="minor"/>
      </rPr>
      <t>P. Martin Sander</t>
    </r>
    <r>
      <rPr>
        <b/>
        <sz val="11"/>
        <color theme="3"/>
        <rFont val="Calibri"/>
        <family val="3"/>
      </rPr>
      <t> 1989. “The large ichthyosaur Cymbospondylus buchseri, sp. nov., from the Middle Triassic of Monte San Giorgio (Switzerland), with a survey of the genus in Europe.” Journal of Vertebrate Paleontology.</t>
    </r>
    <phoneticPr fontId="8" type="noConversion"/>
  </si>
  <si>
    <t>7.6/7.6</t>
    <phoneticPr fontId="8" type="noConversion"/>
  </si>
  <si>
    <r>
      <t>FMNH PR 2251.----Fröbisch,</t>
    </r>
    <r>
      <rPr>
        <b/>
        <sz val="11"/>
        <color theme="3"/>
        <rFont val="Calibri"/>
        <family val="3"/>
      </rPr>
      <t> N. B., Sander, P. M., &amp; Rieppel, O. (2006). A new species of Cymbospondylus (Diapsida, Ichthyosauria) from the Middle Triassic of Nevada and a re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evaluation of the skull osteology of the genus.</t>
    </r>
    <r>
      <rPr>
        <b/>
        <sz val="11"/>
        <color theme="3"/>
        <rFont val="Calibri"/>
        <family val="3"/>
      </rPr>
      <t> Zoological Journal of the Linnean Society, 147(4), 515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538.</t>
    </r>
    <phoneticPr fontId="8" type="noConversion"/>
  </si>
  <si>
    <t>245ma--N.10.40--W.43.57
240ma--N.6.8--W.43.95</t>
    <phoneticPr fontId="8" type="noConversion"/>
  </si>
  <si>
    <t>4.3/4.3</t>
    <phoneticPr fontId="8" type="noConversion"/>
  </si>
  <si>
    <r>
      <t>LACM</t>
    </r>
    <r>
      <rPr>
        <b/>
        <sz val="11"/>
        <color theme="3"/>
        <rFont val="Calibri"/>
        <family val="3"/>
      </rPr>
      <t> DI 158109.----</t>
    </r>
    <r>
      <rPr>
        <b/>
        <sz val="11"/>
        <color theme="3"/>
        <rFont val="等线"/>
        <family val="3"/>
        <charset val="134"/>
        <scheme val="minor"/>
      </rPr>
      <t>Klein,</t>
    </r>
    <r>
      <rPr>
        <b/>
        <sz val="11"/>
        <color theme="3"/>
        <rFont val="Calibri"/>
        <family val="3"/>
      </rPr>
      <t> N., Scheyer, T. M., &amp; Sander, P. M. (2020). “A new cymbospondylid ichthyosaur (Reptilia: Ichthyosauria) from the Middle Triassic (Anisian) of the Augusta Mountains (Nevada, USA).”</t>
    </r>
    <phoneticPr fontId="8" type="noConversion"/>
  </si>
  <si>
    <t>Cymbospondylus piscosus</t>
    <phoneticPr fontId="8" type="noConversion"/>
  </si>
  <si>
    <t>245ma--N.10.40--W.43.57
240ma--N.6.8--W.43.96</t>
    <phoneticPr fontId="8" type="noConversion"/>
  </si>
  <si>
    <t>none/18</t>
    <phoneticPr fontId="8" type="noConversion"/>
  </si>
  <si>
    <r>
      <t>Leidy,</t>
    </r>
    <r>
      <rPr>
        <b/>
        <sz val="11"/>
        <color theme="3"/>
        <rFont val="Calibri"/>
        <family val="3"/>
      </rPr>
      <t> J. (1868). Notice of some reptilian remains from Nevada. Proceedings of the Philadelphia Academy of Sciences.</t>
    </r>
    <phoneticPr fontId="8" type="noConversion"/>
  </si>
  <si>
    <t>Thalattoarchon saurophagis</t>
    <phoneticPr fontId="8" type="noConversion"/>
  </si>
  <si>
    <t>244.9~244.6Ma</t>
    <phoneticPr fontId="8" type="noConversion"/>
  </si>
  <si>
    <t>245ma--N.10.01--W.43.97</t>
    <phoneticPr fontId="8" type="noConversion"/>
  </si>
  <si>
    <t>8.6/8.6</t>
    <phoneticPr fontId="8" type="noConversion"/>
  </si>
  <si>
    <r>
      <t>FMNH</t>
    </r>
    <r>
      <rPr>
        <b/>
        <sz val="11"/>
        <color theme="3"/>
        <rFont val="Calibri"/>
        <family val="3"/>
      </rPr>
      <t> PR 3032.----</t>
    </r>
    <r>
      <rPr>
        <b/>
        <sz val="11"/>
        <color theme="3"/>
        <rFont val="等线"/>
        <family val="3"/>
        <charset val="134"/>
        <scheme val="minor"/>
      </rPr>
      <t>Fröbisch,</t>
    </r>
    <r>
      <rPr>
        <b/>
        <sz val="11"/>
        <color theme="3"/>
        <rFont val="Calibri"/>
        <family val="3"/>
      </rPr>
      <t> N., Fr</t>
    </r>
    <r>
      <rPr>
        <b/>
        <sz val="11"/>
        <color theme="3"/>
        <rFont val="等线"/>
        <family val="3"/>
        <charset val="134"/>
        <scheme val="minor"/>
      </rPr>
      <t>öbisch,</t>
    </r>
    <r>
      <rPr>
        <b/>
        <sz val="11"/>
        <color theme="3"/>
        <rFont val="Calibri"/>
        <family val="3"/>
      </rPr>
      <t> J., Sander, P. M., Schmitz, L. &amp; Rieppel, O. (2013). “</t>
    </r>
    <r>
      <rPr>
        <b/>
        <sz val="11"/>
        <color theme="3"/>
        <rFont val="等线"/>
        <family val="3"/>
        <charset val="134"/>
      </rPr>
      <t>Fröbisch,</t>
    </r>
    <r>
      <rPr>
        <b/>
        <sz val="11"/>
        <color theme="3"/>
        <rFont val="Calibri"/>
        <family val="3"/>
      </rPr>
      <t> N., Fr</t>
    </r>
    <r>
      <rPr>
        <b/>
        <sz val="11"/>
        <color theme="3"/>
        <rFont val="等线"/>
        <family val="3"/>
        <charset val="134"/>
      </rPr>
      <t>öbisch,</t>
    </r>
    <r>
      <rPr>
        <b/>
        <sz val="11"/>
        <color theme="3"/>
        <rFont val="Calibri"/>
        <family val="3"/>
      </rPr>
      <t> J., Sander, P. M., Schmitz, L. &amp; Rieppel, O. (2013). “Macropredatory ichthyosaur from the Middle Triassic and the origin of modern trophic networks.” Proceedings of the National Academy of Sciences,.” Proceedings of the National Academy of Sciences,</t>
    </r>
    <phoneticPr fontId="8" type="noConversion"/>
  </si>
  <si>
    <t>220.7~215.7Ma</t>
    <phoneticPr fontId="8" type="noConversion"/>
  </si>
  <si>
    <t>220ma--N.18.84--E.73.07
215ma--N.18.21--E.71.72</t>
    <phoneticPr fontId="8" type="noConversion"/>
  </si>
  <si>
    <t>none/15</t>
    <phoneticPr fontId="8" type="noConversion"/>
  </si>
  <si>
    <r>
      <t>Dong</t>
    </r>
    <r>
      <rPr>
        <b/>
        <sz val="11"/>
        <color theme="3"/>
        <rFont val="Calibri"/>
        <family val="3"/>
      </rPr>
      <t xml:space="preserve"> Z.-M. (1972). An ichthyosaur fossil from the Qomolangma Feng (Mt. Everest) region. </t>
    </r>
    <r>
      <rPr>
        <b/>
        <sz val="11"/>
        <color theme="3"/>
        <rFont val="微软雅黑"/>
        <family val="2"/>
        <charset val="134"/>
      </rPr>
      <t>《古脊椎动物与古人类研究所集刊》</t>
    </r>
    <r>
      <rPr>
        <b/>
        <sz val="11"/>
        <color theme="3"/>
        <rFont val="Calibri"/>
        <family val="2"/>
      </rPr>
      <t> 9: 7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10.</t>
    </r>
    <phoneticPr fontId="8" type="noConversion"/>
  </si>
  <si>
    <t>242.2~242Ma</t>
    <phoneticPr fontId="8" type="noConversion"/>
  </si>
  <si>
    <t>245ma--N15.33--E20.89</t>
    <phoneticPr fontId="8" type="noConversion"/>
  </si>
  <si>
    <t>none/5</t>
    <phoneticPr fontId="8" type="noConversion"/>
  </si>
  <si>
    <r>
      <t>Maisch,</t>
    </r>
    <r>
      <rPr>
        <b/>
        <sz val="11"/>
        <color theme="3"/>
        <rFont val="Calibri"/>
        <family val="3"/>
      </rPr>
      <t> M. W. &amp; Matzke, A. T. (2000). The Ichthyosauria. Stuttgarter Beitr</t>
    </r>
    <r>
      <rPr>
        <b/>
        <sz val="11"/>
        <color theme="3"/>
        <rFont val="等线"/>
        <family val="3"/>
        <charset val="134"/>
        <scheme val="minor"/>
      </rPr>
      <t>äge zur Naturkunde</t>
    </r>
    <r>
      <rPr>
        <b/>
        <sz val="11"/>
        <color theme="3"/>
        <rFont val="Calibri"/>
        <family val="3"/>
      </rPr>
      <t> (B) 298: 1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159.</t>
    </r>
    <phoneticPr fontId="8" type="noConversion"/>
  </si>
  <si>
    <t>235Ma</t>
    <phoneticPr fontId="8" type="noConversion"/>
  </si>
  <si>
    <t>8.3/9.25</t>
    <phoneticPr fontId="8" type="noConversion"/>
  </si>
  <si>
    <r>
      <t>Sander,</t>
    </r>
    <r>
      <rPr>
        <b/>
        <sz val="11"/>
        <color theme="3"/>
        <rFont val="Calibri"/>
        <family val="3"/>
      </rPr>
      <t> P. M., Chen, X., Cheng, L. &amp; Wang, X. (2011). Short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snouted toothless ichthyosaur from China suggests Late Triassic diversification of suction feeding ichthyosaurs. PLoS</t>
    </r>
    <r>
      <rPr>
        <b/>
        <sz val="11"/>
        <color theme="3"/>
        <rFont val="Calibri"/>
        <family val="3"/>
      </rPr>
      <t> ONE. DOI: 10.1371/journal.pone.0019480.</t>
    </r>
    <phoneticPr fontId="8" type="noConversion"/>
  </si>
  <si>
    <t>233.2~231.8Ma</t>
    <phoneticPr fontId="8" type="noConversion"/>
  </si>
  <si>
    <t>235ma--N.11.56--W.48.30
230ma--N.13.76--W.52.53</t>
    <phoneticPr fontId="8" type="noConversion"/>
  </si>
  <si>
    <t>none/7</t>
    <phoneticPr fontId="8" type="noConversion"/>
  </si>
  <si>
    <r>
      <t>Merriam,</t>
    </r>
    <r>
      <rPr>
        <b/>
        <sz val="11"/>
        <color theme="3"/>
        <rFont val="Calibri"/>
        <family val="3"/>
      </rPr>
      <t> J. C. (1895). On some reptilian remains from the Triassic of Northern California. American Journal of Science, 50(295), 55–57.</t>
    </r>
    <phoneticPr fontId="8" type="noConversion"/>
  </si>
  <si>
    <t>Shastasaurus sikanniensis</t>
    <phoneticPr fontId="8" type="noConversion"/>
  </si>
  <si>
    <t>217~214.3Ma</t>
    <phoneticPr fontId="8" type="noConversion"/>
  </si>
  <si>
    <t>21/21</t>
    <phoneticPr fontId="8" type="noConversion"/>
  </si>
  <si>
    <r>
      <t>Nicholls, E.L. &amp; Manabe, M. (2004). “Giant ichthyosaurs of the Triassic – a new species of Shonisaurus from the Pardonet Formation (Norian: Late Triassic) of British Columbia.” Journal of Vertebrate Paleontology 24(3):</t>
    </r>
    <r>
      <rPr>
        <b/>
        <sz val="11"/>
        <color theme="3"/>
        <rFont val="Calibri"/>
        <family val="3"/>
      </rPr>
      <t> 838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849.</t>
    </r>
    <phoneticPr fontId="8" type="noConversion"/>
  </si>
  <si>
    <t>5.07/8</t>
    <phoneticPr fontId="8" type="noConversion"/>
  </si>
  <si>
    <r>
      <t>BES SC</t>
    </r>
    <r>
      <rPr>
        <b/>
        <sz val="11"/>
        <color theme="3"/>
        <rFont val="Calibri"/>
        <family val="3"/>
      </rPr>
      <t> 999.----</t>
    </r>
    <r>
      <rPr>
        <b/>
        <sz val="11"/>
        <color theme="3"/>
        <rFont val="等线"/>
        <family val="3"/>
        <charset val="134"/>
        <scheme val="minor"/>
      </rPr>
      <t>Dal</t>
    </r>
    <r>
      <rPr>
        <b/>
        <sz val="11"/>
        <color theme="3"/>
        <rFont val="Calibri"/>
        <family val="3"/>
      </rPr>
      <t> Sasso, C., &amp; Pinna, G. (1996). Besanosaurus leptorhynchus n. gen. n. sp., a new shastasaurid ichthyosaur from the Middle Triassic of Besano (Lombardy, N. Italy). Paleontologia Lombarda, Nuova Ser., 4: 1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23.</t>
    </r>
    <phoneticPr fontId="8" type="noConversion"/>
  </si>
  <si>
    <t>234-230Ma</t>
    <phoneticPr fontId="8" type="noConversion"/>
  </si>
  <si>
    <t>235ma--N18.41--E.93.82
230ma--N21.67--E.93.57</t>
    <phoneticPr fontId="8" type="noConversion"/>
  </si>
  <si>
    <t>7/10</t>
    <phoneticPr fontId="8" type="noConversion"/>
  </si>
  <si>
    <r>
      <t>Maisch,</t>
    </r>
    <r>
      <rPr>
        <b/>
        <sz val="11"/>
        <color theme="3"/>
        <rFont val="Calibri"/>
        <family val="3"/>
      </rPr>
      <t> M. W., Pan, X.-R., Sun, Z.-Y., Cai, T., Zhang, D.-P., &amp; Xie, J.-L. (2006). Cranial osteology of Guizhouichthyosaurus tangae (Reptilia: Ichthyosauria) from the Upper Triassic of China. Journal of Vertebrate Paleontology, 26(3), 588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597.</t>
    </r>
    <phoneticPr fontId="8" type="noConversion"/>
  </si>
  <si>
    <t>Callarwayia wolongganagense</t>
    <phoneticPr fontId="8" type="noConversion"/>
  </si>
  <si>
    <t>237-227Ma</t>
    <phoneticPr fontId="8" type="noConversion"/>
  </si>
  <si>
    <t>235ma--N.18.49--E.93.63
230ma--N.21.92--E.93.94</t>
    <phoneticPr fontId="8" type="noConversion"/>
  </si>
  <si>
    <t>2.1/3</t>
    <phoneticPr fontId="8" type="noConversion"/>
  </si>
  <si>
    <t>陈孝红, 程龙, &amp; P. Martin Sander. (2007). 贵州关岭上三叠统卡洛维龙(爬行动物:鱼龙类)一新种. 中国地质, 34(6), 9.</t>
    <phoneticPr fontId="8" type="noConversion"/>
  </si>
  <si>
    <t>Mikadocephalus gracilirostris</t>
    <phoneticPr fontId="8" type="noConversion"/>
  </si>
  <si>
    <t>245ma-N5.42--E.21.15
240ma--N.6.15--E19.79</t>
    <phoneticPr fontId="8" type="noConversion"/>
  </si>
  <si>
    <t>none/3</t>
    <phoneticPr fontId="8" type="noConversion"/>
  </si>
  <si>
    <r>
      <t>GPIT</t>
    </r>
    <r>
      <rPr>
        <b/>
        <sz val="11"/>
        <color theme="3"/>
        <rFont val="Calibri"/>
        <family val="3"/>
      </rPr>
      <t> 1793/1.----</t>
    </r>
    <r>
      <rPr>
        <b/>
        <sz val="11"/>
        <color theme="3"/>
        <rFont val="等线"/>
        <family val="3"/>
        <charset val="134"/>
        <scheme val="minor"/>
      </rPr>
      <t>Maisch,</t>
    </r>
    <r>
      <rPr>
        <b/>
        <sz val="11"/>
        <color theme="3"/>
        <rFont val="Calibri"/>
        <family val="3"/>
      </rPr>
      <t> M. W. &amp; Matzke, A. T. (1997). Mikadocephalus gracilirostris n. gen., n. sp., a new ichthyosaur from the Grenzbitumenzone (Anisian–Ladinian) of Monte San Giorgio (Switzerland). Pal</t>
    </r>
    <r>
      <rPr>
        <b/>
        <sz val="11"/>
        <color theme="3"/>
        <rFont val="等线"/>
        <family val="3"/>
        <charset val="134"/>
        <scheme val="minor"/>
      </rPr>
      <t>äontologische</t>
    </r>
    <r>
      <rPr>
        <b/>
        <sz val="11"/>
        <color theme="3"/>
        <rFont val="Calibri"/>
        <family val="3"/>
      </rPr>
      <t> Zeitschrift, 71(3/4): 267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289.</t>
    </r>
    <phoneticPr fontId="8" type="noConversion"/>
  </si>
  <si>
    <t>Shonisaurus popularis</t>
    <phoneticPr fontId="8" type="noConversion"/>
  </si>
  <si>
    <t>228.6~227Ma</t>
    <phoneticPr fontId="8" type="noConversion"/>
  </si>
  <si>
    <t>230ma--N.10.69--W.50.72</t>
    <phoneticPr fontId="8" type="noConversion"/>
  </si>
  <si>
    <t>15/15</t>
    <phoneticPr fontId="8" type="noConversion"/>
  </si>
  <si>
    <r>
      <t>Camp,</t>
    </r>
    <r>
      <rPr>
        <b/>
        <sz val="11"/>
        <color theme="3"/>
        <rFont val="Calibri"/>
        <family val="3"/>
      </rPr>
      <t> C. L. (1976). Vorl</t>
    </r>
    <r>
      <rPr>
        <b/>
        <sz val="11"/>
        <color theme="3"/>
        <rFont val="等线"/>
        <family val="3"/>
        <charset val="134"/>
        <scheme val="minor"/>
      </rPr>
      <t>äufige Mitteilung über grosse Ichthyosaurier aus der oberen Trias von Nevada. Sitzungsberichte der Österreichischen Akademie der Wissenschaften, Mathematisch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Naturwissenschaftliche Klasse, Abteilung I, 185:125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134.</t>
    </r>
    <phoneticPr fontId="8" type="noConversion"/>
  </si>
  <si>
    <t>219Ma</t>
    <phoneticPr fontId="8" type="noConversion"/>
  </si>
  <si>
    <t>220ma--N.17.40--W.58.30</t>
    <phoneticPr fontId="8" type="noConversion"/>
  </si>
  <si>
    <r>
      <t>ROM</t>
    </r>
    <r>
      <rPr>
        <b/>
        <sz val="11"/>
        <color theme="3"/>
        <rFont val="Calibri"/>
        <family val="3"/>
      </rPr>
      <t> 41993.----</t>
    </r>
    <r>
      <rPr>
        <b/>
        <sz val="11"/>
        <color theme="3"/>
        <rFont val="等线"/>
        <family val="3"/>
        <charset val="134"/>
        <scheme val="minor"/>
      </rPr>
      <t>McGowan,</t>
    </r>
    <r>
      <rPr>
        <b/>
        <sz val="11"/>
        <color theme="3"/>
        <rFont val="Calibri"/>
        <family val="3"/>
      </rPr>
      <t> C. (1994). A new species of Shastasaurus (Reptilia: Ichthyosauria) from the Triassic of British Columbia. Journal of Vertebrate Paleontology, 14: 168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179.</t>
    </r>
    <phoneticPr fontId="8" type="noConversion"/>
  </si>
  <si>
    <t>235ma--N.18.49--E.93.63</t>
    <phoneticPr fontId="8" type="noConversion"/>
  </si>
  <si>
    <r>
      <t>Li,</t>
    </r>
    <r>
      <rPr>
        <b/>
        <sz val="11"/>
        <color theme="3"/>
        <rFont val="Calibri"/>
        <family val="3"/>
      </rPr>
      <t> C. (1999). “Ichthyosaur from Guizhou, China.” Chinese Science Bulletin, 44: 1329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 xml:space="preserve">1333. </t>
    </r>
    <phoneticPr fontId="8" type="noConversion"/>
  </si>
  <si>
    <t>Californosaurus perrini</t>
    <phoneticPr fontId="8" type="noConversion"/>
  </si>
  <si>
    <t>230ma--N.13.27--W.52.52</t>
    <phoneticPr fontId="8" type="noConversion"/>
  </si>
  <si>
    <t>3/3</t>
    <phoneticPr fontId="8" type="noConversion"/>
  </si>
  <si>
    <r>
      <t>UCMP</t>
    </r>
    <r>
      <rPr>
        <b/>
        <sz val="11"/>
        <color theme="3"/>
        <rFont val="Calibri"/>
        <family val="3"/>
      </rPr>
      <t> 9119.----</t>
    </r>
    <r>
      <rPr>
        <b/>
        <sz val="11"/>
        <color theme="3"/>
        <rFont val="等线"/>
        <family val="3"/>
        <charset val="134"/>
        <scheme val="minor"/>
      </rPr>
      <t>Merriam, J.</t>
    </r>
    <r>
      <rPr>
        <b/>
        <sz val="11"/>
        <color theme="3"/>
        <rFont val="Calibri"/>
        <family val="3"/>
      </rPr>
      <t> C. (1902). Triassic Ichthyopterygia from California and Nevada. Bulletin of the Department of Geology of the University of California, 3(4): 63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108.</t>
    </r>
    <phoneticPr fontId="8" type="noConversion"/>
  </si>
  <si>
    <t>Toretocnemus californicus</t>
    <phoneticPr fontId="8" type="noConversion"/>
  </si>
  <si>
    <t>230ma--N.13.27--W.52.53</t>
    <phoneticPr fontId="8" type="noConversion"/>
  </si>
  <si>
    <r>
      <t>UCMP</t>
    </r>
    <r>
      <rPr>
        <b/>
        <sz val="11"/>
        <color theme="3"/>
        <rFont val="Calibri"/>
        <family val="3"/>
      </rPr>
      <t> 8100.----</t>
    </r>
    <r>
      <rPr>
        <b/>
        <sz val="11"/>
        <color theme="3"/>
        <rFont val="等线"/>
        <family val="3"/>
        <charset val="134"/>
        <scheme val="minor"/>
      </rPr>
      <t>Merriam, J.</t>
    </r>
    <r>
      <rPr>
        <b/>
        <sz val="11"/>
        <color theme="3"/>
        <rFont val="Calibri"/>
        <family val="3"/>
      </rPr>
      <t> C. (1903). Toretocnemus, a Late Triassic ichthyosaur from California, U.S.A. Bulletin of the Department of Geology of the University of California, 3(12): 249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263.</t>
    </r>
    <phoneticPr fontId="8" type="noConversion"/>
  </si>
  <si>
    <t>Toretocnemus zitteli</t>
    <phoneticPr fontId="8" type="noConversion"/>
  </si>
  <si>
    <t>230ma--N.13.27--W.52.54</t>
    <phoneticPr fontId="8" type="noConversion"/>
  </si>
  <si>
    <r>
      <t>UCMP</t>
    </r>
    <r>
      <rPr>
        <b/>
        <sz val="11"/>
        <color theme="3"/>
        <rFont val="Calibri"/>
        <family val="3"/>
      </rPr>
      <t> 8099.----</t>
    </r>
    <r>
      <rPr>
        <b/>
        <sz val="11"/>
        <color theme="3"/>
        <rFont val="等线"/>
        <family val="3"/>
        <charset val="134"/>
        <scheme val="minor"/>
      </rPr>
      <t>Merriam,</t>
    </r>
    <r>
      <rPr>
        <b/>
        <sz val="11"/>
        <color theme="3"/>
        <rFont val="Calibri"/>
        <family val="3"/>
      </rPr>
      <t> J. C. (1903). Toretocnemus, a Late Triassic ichthyosaur from California, U.S.A. Bulletin of the Department of Geology of the University of California, 3(12): 249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263.</t>
    </r>
    <phoneticPr fontId="8" type="noConversion"/>
  </si>
  <si>
    <t>Qianichthyosaurus xingyiensis</t>
    <phoneticPr fontId="8" type="noConversion"/>
  </si>
  <si>
    <t>236.1Ma</t>
    <phoneticPr fontId="8" type="noConversion"/>
  </si>
  <si>
    <t>235ma--N18.41--E.93.82</t>
    <phoneticPr fontId="8" type="noConversion"/>
  </si>
  <si>
    <t>1.3/1.3</t>
    <phoneticPr fontId="8" type="noConversion"/>
  </si>
  <si>
    <r>
      <t>WS2011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46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R1.----Yang</t>
    </r>
    <r>
      <rPr>
        <b/>
        <sz val="11"/>
        <color theme="3"/>
        <rFont val="Calibri"/>
        <family val="3"/>
      </rPr>
      <t> Pengfei, Ji Cheng, Jiang Dayong, Motani Ryosuke, Tintori Andrea, Sun Yuanlin &amp; Sun Zuoyu (2013). “A new species of Qianichthyosaurus (Reptilia: Ichthyosauria) from Xingyi Fauna (Ladinian, Middle Triassic) of Guizhou.” Acta Scientiarum Naturalis Universitatis Pekinensis, 49(6): 1002</t>
    </r>
    <r>
      <rPr>
        <b/>
        <sz val="11"/>
        <color theme="3"/>
        <rFont val="Tahoma"/>
        <family val="3"/>
        <charset val="1"/>
      </rPr>
      <t>‑</t>
    </r>
    <r>
      <rPr>
        <b/>
        <sz val="11"/>
        <color theme="3"/>
        <rFont val="等线"/>
        <family val="3"/>
        <charset val="134"/>
        <scheme val="minor"/>
      </rPr>
      <t>1008.</t>
    </r>
    <phoneticPr fontId="8" type="noConversion"/>
  </si>
  <si>
    <t>Phalarodon major</t>
    <phoneticPr fontId="8" type="noConversion"/>
  </si>
  <si>
    <t>none/3.5</t>
    <phoneticPr fontId="8" type="noConversion"/>
  </si>
  <si>
    <t>Maisch, M.W. &amp; Matzke, A.T. (2000). The Ichthyosauria. Stuttgarter Beiträge zur Naturkunde (B) 298: 1–159.</t>
    <phoneticPr fontId="8" type="noConversion"/>
  </si>
  <si>
    <t>Wimanius odontopalatus</t>
    <phoneticPr fontId="8" type="noConversion"/>
  </si>
  <si>
    <t>245ma--N5.42--E.21.15</t>
    <phoneticPr fontId="8" type="noConversion"/>
  </si>
  <si>
    <t>GPIT-PV-76272.----Maisch, M. W. &amp; Matzke, A. T. (1998). Observations on Triassic ichthyosaurs. Part II — A new ichthyosaur with palatal teeth from Monte San Giorgio.</t>
    <phoneticPr fontId="8" type="noConversion"/>
  </si>
  <si>
    <t>Hudsonelpidia brevirostris</t>
    <phoneticPr fontId="8" type="noConversion"/>
  </si>
  <si>
    <t>225.5~222.6Ma</t>
    <phoneticPr fontId="8" type="noConversion"/>
  </si>
  <si>
    <t>225ma--N.31.88--W.49.33
220ma--N.17.40--W.58.30</t>
    <phoneticPr fontId="8" type="noConversion"/>
  </si>
  <si>
    <t>2/2</t>
    <phoneticPr fontId="8" type="noConversion"/>
  </si>
  <si>
    <t>ROM 44629.----McGowan, C. (1995). A remarkable small ichthyosaur from the Upper Triassic of British Columbia, representing a new genus and species. Canadian Journal of Earth Sciences, 32(3): 292-303.</t>
    <phoneticPr fontId="8" type="noConversion"/>
  </si>
  <si>
    <t>Macgowania janiceps</t>
    <phoneticPr fontId="8" type="noConversion"/>
  </si>
  <si>
    <t>219~217.8Ma</t>
    <phoneticPr fontId="8" type="noConversion"/>
  </si>
  <si>
    <t>ROM 41992.----McGowan, C. (1996). A new and typically Jurassic ichthyosaur from the Upper Triassic of British Columbia. Canadian Journal of Earth Sciences, 33(1): 24-32.</t>
    <phoneticPr fontId="8" type="noConversion"/>
  </si>
  <si>
    <t>none/1.3</t>
  </si>
  <si>
    <t>242.6 - 242Ma</t>
    <phoneticPr fontId="8" type="noConversion"/>
  </si>
  <si>
    <t>2.5/3.6</t>
    <phoneticPr fontId="8" type="noConversion"/>
  </si>
  <si>
    <r>
      <t>Peyer,</t>
    </r>
    <r>
      <rPr>
        <b/>
        <sz val="11"/>
        <color theme="3"/>
        <rFont val="Calibri"/>
        <family val="2"/>
      </rPr>
      <t> B. (1955). Die Triasfauna der Tessiner Kalkalpen. XVIII. Helveticosaurus zollingeri n. g., n. sp. Schweizerische Pal</t>
    </r>
    <r>
      <rPr>
        <b/>
        <sz val="11"/>
        <color theme="3"/>
        <rFont val="等线"/>
        <family val="2"/>
        <charset val="134"/>
        <scheme val="minor"/>
      </rPr>
      <t>äontologische</t>
    </r>
    <r>
      <rPr>
        <b/>
        <sz val="11"/>
        <color theme="3"/>
        <rFont val="Calibri"/>
        <family val="2"/>
      </rPr>
      <t> Abhandlungen, 72, 3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50.</t>
    </r>
    <phoneticPr fontId="8" type="noConversion"/>
  </si>
  <si>
    <t>242.6 - 241Ma</t>
    <phoneticPr fontId="8" type="noConversion"/>
  </si>
  <si>
    <t>245ma--N.14.66--E.22.58</t>
    <phoneticPr fontId="8" type="noConversion"/>
  </si>
  <si>
    <r>
      <t>Nosotti,</t>
    </r>
    <r>
      <rPr>
        <b/>
        <sz val="11"/>
        <color theme="3"/>
        <rFont val="Calibri"/>
        <family val="2"/>
      </rPr>
      <t> S., &amp; Rieppel, O. (2003). Eusaurosphargis dalsassoi n. gen. n. sp., a new, unusual diapsid reptile from the Middle Triassic of Besano (Lombardy, N Italy). Memorie della Societ</t>
    </r>
    <r>
      <rPr>
        <b/>
        <sz val="11"/>
        <color theme="3"/>
        <rFont val="等线"/>
        <family val="2"/>
        <charset val="134"/>
        <scheme val="minor"/>
      </rPr>
      <t>à Italiana di Scienze Naturali e del Museo Civico di Storia Naturale di Milano,</t>
    </r>
    <r>
      <rPr>
        <b/>
        <sz val="11"/>
        <color theme="3"/>
        <rFont val="Calibri"/>
        <family val="2"/>
      </rPr>
      <t> 31, 1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33.</t>
    </r>
    <phoneticPr fontId="8" type="noConversion"/>
  </si>
  <si>
    <t>Atopodentatus unicus</t>
    <phoneticPr fontId="8" type="noConversion"/>
  </si>
  <si>
    <t>244.9 - 244Ma</t>
    <phoneticPr fontId="8" type="noConversion"/>
  </si>
  <si>
    <t>245ma--N.11.53--E.94.62</t>
    <phoneticPr fontId="8" type="noConversion"/>
  </si>
  <si>
    <r>
      <t>Cheng, L., Chen, X.-H., Shang, Q.-H., &amp; Wu, X.-C. (2014). A new marine reptile from the Triassic of China, with a highly specialized feeding adaptation.</t>
    </r>
    <r>
      <rPr>
        <b/>
        <sz val="11"/>
        <color theme="3"/>
        <rFont val="Calibri"/>
        <family val="2"/>
      </rPr>
      <t> Naturwissenschaften, 101(3), 251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259.</t>
    </r>
    <phoneticPr fontId="8" type="noConversion"/>
  </si>
  <si>
    <t>245.2Ma</t>
    <phoneticPr fontId="8" type="noConversion"/>
  </si>
  <si>
    <t>245ma--N.16.79--E.16.39</t>
    <phoneticPr fontId="8" type="noConversion"/>
  </si>
  <si>
    <t>0.02（头骨）/1.5</t>
    <phoneticPr fontId="8" type="noConversion"/>
  </si>
  <si>
    <r>
      <t>Neenan,</t>
    </r>
    <r>
      <rPr>
        <b/>
        <sz val="11"/>
        <color theme="3"/>
        <rFont val="Calibri"/>
        <family val="2"/>
      </rPr>
      <t> J. M., Klein, N., &amp; Scheyer, T. M. (2013). European origin of placodont marine reptiles and the evolution of crushing dentition in Placodontia. Nature Communications, 4, Article 1621.</t>
    </r>
    <phoneticPr fontId="8" type="noConversion"/>
  </si>
  <si>
    <t>246.3 - 242Ma</t>
    <phoneticPr fontId="8" type="noConversion"/>
  </si>
  <si>
    <t>PIMUZ T series.----Peyer, B. (1931a). Paraplacodus broili nov. gen. nov. sp., ein neuer Placodontier aus der Tessiner Trias. Centralblatt für Mineralogie, Geologie und Paläontologie B, 1931: 570-573.</t>
    <phoneticPr fontId="8" type="noConversion"/>
  </si>
  <si>
    <t>Paraplacodus luopingensis</t>
    <phoneticPr fontId="8" type="noConversion"/>
  </si>
  <si>
    <t>Pararcus diepenbroek</t>
    <phoneticPr fontId="8" type="noConversion"/>
  </si>
  <si>
    <t>247-242Ma</t>
    <phoneticPr fontId="8" type="noConversion"/>
  </si>
  <si>
    <t>245ma--N.16.79--E.16.39
240ma--N.16.91--E.13.91</t>
    <phoneticPr fontId="8" type="noConversion"/>
  </si>
  <si>
    <t>1.35/1.5</t>
    <phoneticPr fontId="8" type="noConversion"/>
  </si>
  <si>
    <r>
      <t>TWE 480000454。----Klein, N., &amp; Scheyer, T.</t>
    </r>
    <r>
      <rPr>
        <b/>
        <sz val="11"/>
        <color theme="3"/>
        <rFont val="Calibri"/>
        <family val="2"/>
      </rPr>
      <t> M. (2014). A new placodont sauropterygian from the Middle Triassic of the Netherlands. Acta Palaeontologica Polonica, 59(4), 888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912.</t>
    </r>
    <phoneticPr fontId="8" type="noConversion"/>
  </si>
  <si>
    <t>Placodus gigas</t>
    <phoneticPr fontId="8" type="noConversion"/>
  </si>
  <si>
    <t>246.3 - 239.1Ma</t>
    <phoneticPr fontId="8" type="noConversion"/>
  </si>
  <si>
    <t>245ma--N.17.07--E.18.85
240ma--N.17.34--E.17.33</t>
    <phoneticPr fontId="8" type="noConversion"/>
  </si>
  <si>
    <r>
      <t>SNSB-BSPG AS VII 1208（原编号 BSP AS VII 1208）/SMF No. R1035.----Agassiz,</t>
    </r>
    <r>
      <rPr>
        <b/>
        <sz val="11"/>
        <color theme="3"/>
        <rFont val="Calibri"/>
        <family val="2"/>
      </rPr>
      <t> L. (1833). Recherches sur les poissons fossiles (Vol. 2). Neuch</t>
    </r>
    <r>
      <rPr>
        <b/>
        <sz val="11"/>
        <color theme="3"/>
        <rFont val="等线"/>
        <family val="2"/>
        <charset val="134"/>
        <scheme val="minor"/>
      </rPr>
      <t>âtel: Imprimerie de Petitpierre.</t>
    </r>
    <phoneticPr fontId="8" type="noConversion"/>
  </si>
  <si>
    <t>245ma--N10.49--E99.84</t>
    <phoneticPr fontId="8" type="noConversion"/>
  </si>
  <si>
    <t>2.05/2.5</t>
    <phoneticPr fontId="8" type="noConversion"/>
  </si>
  <si>
    <r>
      <t>GMPKU-P-1054.----Jiang, D.-Y., Motani, R., Hao, W.-C., Rieppel, O., Sun, Y.-L., Schmitz, L., &amp; Sun, Z.-Y. (2008). First record of Placodontoidea (Reptilia, Sauropterygia, Placodontia) from the eastern Tethys. Journal of Vertebrate Paleontology, 28(3), 904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908.</t>
    </r>
    <phoneticPr fontId="8" type="noConversion"/>
  </si>
  <si>
    <t>Psephosaurus suevicus</t>
    <phoneticPr fontId="8" type="noConversion"/>
  </si>
  <si>
    <t>238.9 - 238.2Ma</t>
    <phoneticPr fontId="8" type="noConversion"/>
  </si>
  <si>
    <t xml:space="preserve">240ma--N.14.94--E.17.08
235ma--N.19.51--E.15.10
</t>
    <phoneticPr fontId="8" type="noConversion"/>
  </si>
  <si>
    <t>SMNS 91007 &amp; MHI 1426/1-3.----Fraas, E. (1896). Die schwäbischen Trias-Saurier. E. Schweizerbart, Stuttgart.</t>
    <phoneticPr fontId="8" type="noConversion"/>
  </si>
  <si>
    <t>Psephosauriscus mosis</t>
    <phoneticPr fontId="8" type="noConversion"/>
  </si>
  <si>
    <t>244.4 - 244Ma</t>
    <phoneticPr fontId="8" type="noConversion"/>
  </si>
  <si>
    <t>245ma--S.13.70--E.34.89</t>
    <phoneticPr fontId="8" type="noConversion"/>
  </si>
  <si>
    <t>none/1.2</t>
    <phoneticPr fontId="8" type="noConversion"/>
  </si>
  <si>
    <t>HUJ-Pal.C.F.247.----Rieppel, O. . (2002). The dermal armor of the cyamodontoid placodonts (reptilia, sauropterygia) : morphology and systematic value / olivier rieppel --.</t>
    <phoneticPr fontId="8" type="noConversion"/>
  </si>
  <si>
    <t>Psephosauriscus ramonensis</t>
    <phoneticPr fontId="8" type="noConversion"/>
  </si>
  <si>
    <t>244 - 243Ma</t>
    <phoneticPr fontId="8" type="noConversion"/>
  </si>
  <si>
    <t>245ma--S.13.70--E.34.90</t>
    <phoneticPr fontId="8" type="noConversion"/>
  </si>
  <si>
    <t>HUJ-Pal.C.F.248.----Rieppel, O. (2002). The dermal armor of the cyamodontoid placodonts (Reptilia, Sauropterygia): morphology and systematic value</t>
    <phoneticPr fontId="8" type="noConversion"/>
  </si>
  <si>
    <t>Psephosauriscus sinaiticus</t>
    <phoneticPr fontId="8" type="noConversion"/>
  </si>
  <si>
    <t>245ma--S.14.36--E.33.95</t>
    <phoneticPr fontId="8" type="noConversion"/>
  </si>
  <si>
    <r>
      <t>HUJ-Pal.TR.3421.----Haas,</t>
    </r>
    <r>
      <rPr>
        <b/>
        <sz val="11"/>
        <color theme="3"/>
        <rFont val="Calibri"/>
        <family val="2"/>
      </rPr>
      <t> G. (1959). On some fragments of the dermal skeleton of Placodontia from the Trias of Araif en Naqa, Sinai Peninsula. Kungl. Svenska Vetenskapsakademiens Handlingar, Fourth Series, 7(4), 1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19./Rieppel, O. (2002). The dermal armor of the cyamodontoid placodonts (Reptilia, Sauropterygia): morphology and systematic value</t>
    </r>
    <phoneticPr fontId="8" type="noConversion"/>
  </si>
  <si>
    <t>Psephosauriscus rhombifer</t>
    <phoneticPr fontId="8" type="noConversion"/>
  </si>
  <si>
    <t>240.8 - 240Ma</t>
    <phoneticPr fontId="8" type="noConversion"/>
  </si>
  <si>
    <t>245ma--S.14.36--E.33.96
240ma--S.12.83--E.33.40</t>
    <phoneticPr fontId="8" type="noConversion"/>
  </si>
  <si>
    <r>
      <t>HUJ-Pal.T.R.3676.----Haas,</t>
    </r>
    <r>
      <rPr>
        <b/>
        <sz val="11"/>
        <color theme="3"/>
        <rFont val="Calibri"/>
        <family val="2"/>
      </rPr>
      <t> G. (1959). On some fragments of the dermal skeleton of Placodontia from the Trias of Ari (en) Naga, Sinai Peninsula. Kungl. Svenska Vetenskapsakademiens Handlingar, Fj</t>
    </r>
    <r>
      <rPr>
        <b/>
        <sz val="11"/>
        <color theme="3"/>
        <rFont val="等线"/>
        <family val="2"/>
        <charset val="134"/>
        <scheme val="minor"/>
      </rPr>
      <t>ärde Serien</t>
    </r>
    <r>
      <rPr>
        <b/>
        <sz val="11"/>
        <color theme="3"/>
        <rFont val="Calibri"/>
        <family val="2"/>
      </rPr>
      <t> (7), 1–19.</t>
    </r>
    <phoneticPr fontId="8" type="noConversion"/>
  </si>
  <si>
    <t>242.4 - 242Ma</t>
    <phoneticPr fontId="8" type="noConversion"/>
  </si>
  <si>
    <t>245ma--N.5.36--E.22.00</t>
    <phoneticPr fontId="8" type="noConversion"/>
  </si>
  <si>
    <t>1.3/1.5</t>
    <phoneticPr fontId="8" type="noConversion"/>
  </si>
  <si>
    <t>PIMUZ T4763.----Bernhard Peyer (1931). Die Triasfauna der Tessiner Kalkalpen. III. Placodontia. Abhandlungen der Schweizerischen Paläontologischen Gesellschaft, 51: 1-124</t>
    <phoneticPr fontId="8" type="noConversion"/>
  </si>
  <si>
    <t>IVPP V11872.----Li Chun (2000). “Placodont (Reptilia: Placodontia) from Upper Triassic of Guizhou, southwest China.” Vertebrata PalAsiatica, 38(4): 314-317.</t>
    <phoneticPr fontId="8" type="noConversion"/>
  </si>
  <si>
    <t>Cyamodus tarnowitzensis</t>
    <phoneticPr fontId="8" type="noConversion"/>
  </si>
  <si>
    <t>244.7 - 244.6Ma</t>
    <phoneticPr fontId="8" type="noConversion"/>
  </si>
  <si>
    <t>235ma--N.18.46--E.26.05</t>
    <phoneticPr fontId="8" type="noConversion"/>
  </si>
  <si>
    <t>Gürich, G. (1884). Über einige Saurier des oberschlesischen Muschelkalkes. Zeitschrift der Deutschen Geologischen Gesellschaft, 36: 125-144.</t>
    <phoneticPr fontId="8" type="noConversion"/>
  </si>
  <si>
    <t>Cyamodus rostratus</t>
    <phoneticPr fontId="8" type="noConversion"/>
  </si>
  <si>
    <t>243 - 242.1Ma</t>
    <phoneticPr fontId="8" type="noConversion"/>
  </si>
  <si>
    <t>245ma--N15.33--E20.89
240ma--N.15.43--E.19.14</t>
    <phoneticPr fontId="8" type="noConversion"/>
  </si>
  <si>
    <t>UM-O BT 1210a.----Münster, G. von (1839). Über einige reptilienreste aus dem oberen Muschelkalk Nord-Bayerns.</t>
    <phoneticPr fontId="8" type="noConversion"/>
  </si>
  <si>
    <t>Cyamodus muensteri</t>
    <phoneticPr fontId="8" type="noConversion"/>
  </si>
  <si>
    <t>246-242Ma</t>
    <phoneticPr fontId="8" type="noConversion"/>
  </si>
  <si>
    <t>245ma--N15.33--E20.89
240ma--N.15.43--E.19.15</t>
    <phoneticPr fontId="8" type="noConversion"/>
  </si>
  <si>
    <r>
      <t>BSP AS VII 1210.----Agassiz, L. (1833–1843). Recherches sur les poissons fossiles</t>
    </r>
    <r>
      <rPr>
        <b/>
        <sz val="11"/>
        <color theme="3"/>
        <rFont val="Calibri"/>
        <family val="2"/>
      </rPr>
      <t xml:space="preserve"> : une introduction </t>
    </r>
    <r>
      <rPr>
        <b/>
        <sz val="11"/>
        <color theme="3"/>
        <rFont val="等线"/>
        <family val="2"/>
        <charset val="134"/>
        <scheme val="minor"/>
      </rPr>
      <t>à l’étude de ces animaux … Neuchâtel</t>
    </r>
    <r>
      <rPr>
        <b/>
        <sz val="11"/>
        <color theme="3"/>
        <rFont val="Calibri"/>
        <family val="2"/>
      </rPr>
      <t> : Imprimerie de Petitpierre et Prince. DOI: 10.3931/e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rara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11962.</t>
    </r>
    <phoneticPr fontId="8" type="noConversion"/>
  </si>
  <si>
    <t>Cyamodus kuhnschnyderi</t>
    <phoneticPr fontId="8" type="noConversion"/>
  </si>
  <si>
    <t>240 - 239.2Ma</t>
    <phoneticPr fontId="8" type="noConversion"/>
  </si>
  <si>
    <t>240ma--N.6.15--E19.79</t>
    <phoneticPr fontId="8" type="noConversion"/>
  </si>
  <si>
    <r>
      <t>PIMUZ</t>
    </r>
    <r>
      <rPr>
        <b/>
        <sz val="11"/>
        <color theme="3"/>
        <rFont val="Calibri"/>
        <family val="2"/>
      </rPr>
      <t> T 1324</t>
    </r>
    <r>
      <rPr>
        <b/>
        <sz val="11"/>
        <color theme="3"/>
        <rFont val="等线"/>
        <family val="2"/>
        <charset val="134"/>
        <scheme val="minor"/>
      </rPr>
      <t>.----Brinkmann,</t>
    </r>
    <r>
      <rPr>
        <b/>
        <sz val="11"/>
        <color theme="3"/>
        <rFont val="Calibri"/>
        <family val="2"/>
      </rPr>
      <t> W. (1998). “Sangiorgiosaurus n. g. – eine neue Mixosaurier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Gattung (Mixosauridae, Ichthyosauria) mit Quetschzähnen aus der Grenzbitumenzone (Mitteltrias) des Monte</t>
    </r>
    <r>
      <rPr>
        <b/>
        <sz val="11"/>
        <color theme="3"/>
        <rFont val="Calibri"/>
        <family val="2"/>
      </rPr>
      <t> San Giorgio (Schweiz, Kanton Tessin).” Neues Jahrbuch f</t>
    </r>
    <r>
      <rPr>
        <b/>
        <sz val="11"/>
        <color theme="3"/>
        <rFont val="等线"/>
        <family val="2"/>
        <charset val="134"/>
        <scheme val="minor"/>
      </rPr>
      <t>ür Geologie und Paläontologie – Abhandlungen, 207:</t>
    </r>
    <r>
      <rPr>
        <b/>
        <sz val="11"/>
        <color theme="3"/>
        <rFont val="Calibri"/>
        <family val="2"/>
      </rPr>
      <t> 125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144.</t>
    </r>
    <phoneticPr fontId="8" type="noConversion"/>
  </si>
  <si>
    <r>
      <t>ZMNH M8820.----Wang, X., Li, C., Scheyer, T.</t>
    </r>
    <r>
      <rPr>
        <b/>
        <sz val="11"/>
        <color theme="3"/>
        <rFont val="Calibri"/>
        <family val="2"/>
      </rPr>
      <t> M. &amp; Zhao, L. (2019). A new cyamodontoid placodont (Reptilia: Sauropterygia) from the early Late Triassic (Carnian) of Guizhou, China and its phylogenetic implications. Journal of Systematic Palaeontology.</t>
    </r>
    <phoneticPr fontId="8" type="noConversion"/>
  </si>
  <si>
    <t>Protenodontosaurus italicus</t>
    <phoneticPr fontId="8" type="noConversion"/>
  </si>
  <si>
    <t>234.3Ma</t>
    <phoneticPr fontId="8" type="noConversion"/>
  </si>
  <si>
    <r>
      <t>MFSN 1819GP.----Pinna, G. (1990). Protenodontosaurus italicus n.</t>
    </r>
    <r>
      <rPr>
        <b/>
        <sz val="11"/>
        <color theme="3"/>
        <rFont val="Calibri"/>
        <family val="2"/>
      </rPr>
      <t> g., n. sp., un nuovo placodonte del Carnico italiano. Atti della Societ</t>
    </r>
    <r>
      <rPr>
        <b/>
        <sz val="11"/>
        <color theme="3"/>
        <rFont val="等线"/>
        <family val="2"/>
        <charset val="134"/>
        <scheme val="minor"/>
      </rPr>
      <t>à Italiana di Scienze Naturali e del Museo Civico di Storia Naturale di Milano,</t>
    </r>
    <r>
      <rPr>
        <b/>
        <sz val="11"/>
        <color theme="3"/>
        <rFont val="Calibri"/>
        <family val="2"/>
      </rPr>
      <t> 131(1), 5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12.</t>
    </r>
    <phoneticPr fontId="8" type="noConversion"/>
  </si>
  <si>
    <t>237 - 235.3Ma</t>
    <phoneticPr fontId="8" type="noConversion"/>
  </si>
  <si>
    <r>
      <t>GPIT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PV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30003.----von</t>
    </r>
    <r>
      <rPr>
        <b/>
        <sz val="11"/>
        <color theme="3"/>
        <rFont val="Calibri"/>
        <family val="2"/>
      </rPr>
      <t> Huene, F. (1936). Henodus chelyops, ein neuer Placodontier. Sonder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Abdruck aus</t>
    </r>
    <r>
      <rPr>
        <b/>
        <sz val="11"/>
        <color theme="3"/>
        <rFont val="Calibri"/>
        <family val="2"/>
      </rPr>
      <t> Palaeontographica Abteilung A, 84: 99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147.</t>
    </r>
    <phoneticPr fontId="8" type="noConversion"/>
  </si>
  <si>
    <t>Parahenodus atancensis</t>
    <phoneticPr fontId="8" type="noConversion"/>
  </si>
  <si>
    <t>237 - 208.5Ma</t>
    <phoneticPr fontId="8" type="noConversion"/>
  </si>
  <si>
    <t xml:space="preserve">235ma--N.9.32--E.9.48
230ma--N.14.35--E.7.89
225ma--N.17.52--E.5.16
220ma--N.23.93--E.4.48
215ma--N.24.51--5.41
210ma--LAND N.25.29--E.4.72
205ma--N.26.62--E.4.29
</t>
    <phoneticPr fontId="8" type="noConversion"/>
  </si>
  <si>
    <r>
      <t>De</t>
    </r>
    <r>
      <rPr>
        <b/>
        <sz val="11"/>
        <color theme="3"/>
        <rFont val="Calibri"/>
        <family val="2"/>
      </rPr>
      <t> Miguel Chaves, C.; Ortega, F.; P</t>
    </r>
    <r>
      <rPr>
        <b/>
        <sz val="11"/>
        <color theme="3"/>
        <rFont val="等线"/>
        <family val="2"/>
        <charset val="134"/>
        <scheme val="minor"/>
      </rPr>
      <t>érez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García,</t>
    </r>
    <r>
      <rPr>
        <b/>
        <sz val="11"/>
        <color theme="3"/>
        <rFont val="Calibri"/>
        <family val="2"/>
      </rPr>
      <t> A. (2018). A new placodont from the Upper Triassic of Spain provides new insights on the acquisition of the specialized skull of Henodontidae. Papers in Palaeontology. DOI:10.1002/spp2.1218.</t>
    </r>
    <phoneticPr fontId="8" type="noConversion"/>
  </si>
  <si>
    <t>Placochelys placodonta</t>
    <phoneticPr fontId="8" type="noConversion"/>
  </si>
  <si>
    <t>242–235Ma</t>
    <phoneticPr fontId="8" type="noConversion"/>
  </si>
  <si>
    <r>
      <t>Jaekel,</t>
    </r>
    <r>
      <rPr>
        <b/>
        <sz val="11"/>
        <color theme="3"/>
        <rFont val="Calibri"/>
        <family val="2"/>
      </rPr>
      <t xml:space="preserve"> O. (1902). </t>
    </r>
    <r>
      <rPr>
        <b/>
        <sz val="11"/>
        <color theme="3"/>
        <rFont val="等线"/>
        <family val="2"/>
        <charset val="134"/>
        <scheme val="minor"/>
      </rPr>
      <t>Über Placochelys n.</t>
    </r>
    <r>
      <rPr>
        <b/>
        <sz val="11"/>
        <color theme="3"/>
        <rFont val="Calibri"/>
        <family val="2"/>
      </rPr>
      <t> g. und ihre Bedeutung f</t>
    </r>
    <r>
      <rPr>
        <b/>
        <sz val="11"/>
        <color theme="3"/>
        <rFont val="等线"/>
        <family val="2"/>
        <charset val="134"/>
        <scheme val="minor"/>
      </rPr>
      <t>ür die Stammesgeschichte der Schildkröten. Neues Jahrbuch für Mineralogie, Geologie und</t>
    </r>
    <r>
      <rPr>
        <b/>
        <sz val="11"/>
        <color theme="3"/>
        <rFont val="Calibri"/>
        <family val="2"/>
      </rPr>
      <t> Pal</t>
    </r>
    <r>
      <rPr>
        <b/>
        <sz val="11"/>
        <color theme="3"/>
        <rFont val="等线"/>
        <family val="2"/>
        <charset val="134"/>
        <scheme val="minor"/>
      </rPr>
      <t>äontologie – Abhandlungen, 1902:</t>
    </r>
    <r>
      <rPr>
        <b/>
        <sz val="11"/>
        <color theme="3"/>
        <rFont val="Calibri"/>
        <family val="2"/>
      </rPr>
      <t> 127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144.</t>
    </r>
    <phoneticPr fontId="8" type="noConversion"/>
  </si>
  <si>
    <t>241 - 240.9Ma</t>
    <phoneticPr fontId="8" type="noConversion"/>
  </si>
  <si>
    <t>0.95/0.95</t>
    <phoneticPr fontId="8" type="noConversion"/>
  </si>
  <si>
    <r>
      <t>ZMNH M 8729.----Zhao, L.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J., Li, C., Liu, J., &amp; He, T. (2008). A new armored placodont from the Middle Triassic of Yunnan Province, southwestern China. Vertebrata PalAsiatica, 46(3), 171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177.</t>
    </r>
    <phoneticPr fontId="8" type="noConversion"/>
  </si>
  <si>
    <t>Glyphoderma robusta</t>
    <phoneticPr fontId="8" type="noConversion"/>
  </si>
  <si>
    <t>240ma--N.14.67--E.93.97</t>
    <phoneticPr fontId="8" type="noConversion"/>
  </si>
  <si>
    <t>IVPP V 12442.----Li, C., &amp; Rieppel, O. (2002). A new cyamodontoid placodont from the Triassic of Guizhou, China. Chinese Science Bulletin, 47(5), 403-407.</t>
    <phoneticPr fontId="8" type="noConversion"/>
  </si>
  <si>
    <t>Macroplacus raeticus</t>
    <phoneticPr fontId="8" type="noConversion"/>
  </si>
  <si>
    <t>205.4Ma</t>
    <phoneticPr fontId="8" type="noConversion"/>
  </si>
  <si>
    <r>
      <t>Schubert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Klempnauer, H. (1975). Macroplacus raeticus n.</t>
    </r>
    <r>
      <rPr>
        <b/>
        <sz val="11"/>
        <color theme="3"/>
        <rFont val="Calibri"/>
        <family val="2"/>
      </rPr>
      <t> g., n. sp. – ein neuer Placodontier aus der R</t>
    </r>
    <r>
      <rPr>
        <b/>
        <sz val="11"/>
        <color theme="3"/>
        <rFont val="等线"/>
        <family val="2"/>
        <charset val="134"/>
        <scheme val="minor"/>
      </rPr>
      <t>ät der Bayerischen Alpen.</t>
    </r>
    <r>
      <rPr>
        <b/>
        <sz val="11"/>
        <color theme="3"/>
        <rFont val="Calibri"/>
        <family val="2"/>
      </rPr>
      <t> Mitteilungen der Bayerischen Staatssammlung f</t>
    </r>
    <r>
      <rPr>
        <b/>
        <sz val="11"/>
        <color theme="3"/>
        <rFont val="等线"/>
        <family val="2"/>
        <charset val="134"/>
        <scheme val="minor"/>
      </rPr>
      <t>ür Paläontologie und historische Geologie,</t>
    </r>
    <r>
      <rPr>
        <b/>
        <sz val="11"/>
        <color theme="3"/>
        <rFont val="Calibri"/>
        <family val="2"/>
      </rPr>
      <t> 15: 33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55.</t>
    </r>
    <phoneticPr fontId="8" type="noConversion"/>
  </si>
  <si>
    <t>Psephoderma sculptata</t>
    <phoneticPr fontId="8" type="noConversion"/>
  </si>
  <si>
    <t>243 - 239.1Ma</t>
    <phoneticPr fontId="8" type="noConversion"/>
  </si>
  <si>
    <t>245ma--S.13.70--E.34.89
240ma-S.12.28--E.34.54</t>
    <phoneticPr fontId="8" type="noConversion"/>
  </si>
  <si>
    <t>Psephoderma alpinum</t>
    <phoneticPr fontId="8" type="noConversion"/>
  </si>
  <si>
    <t>215.6 - 205Ma</t>
    <phoneticPr fontId="8" type="noConversion"/>
  </si>
  <si>
    <t>215ma--N.25.87--E.13.25
210ma--N27.14--E12.61
205ma--N28.63--E.12.39</t>
    <phoneticPr fontId="8" type="noConversion"/>
  </si>
  <si>
    <t>1.25/1.25</t>
    <phoneticPr fontId="8" type="noConversion"/>
  </si>
  <si>
    <r>
      <t>Meyer,</t>
    </r>
    <r>
      <rPr>
        <b/>
        <sz val="11"/>
        <color theme="3"/>
        <rFont val="Calibri"/>
        <family val="2"/>
      </rPr>
      <t> H. v. (1858). Psephoderma Alpinum aus dem Dachstein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Kalk der Alpen. Neues Jahrbuch für Mineralogie, Geognosie, Geologie und Petrefaktenkunde, 1858:</t>
    </r>
    <r>
      <rPr>
        <b/>
        <sz val="11"/>
        <color theme="3"/>
        <rFont val="Calibri"/>
        <family val="2"/>
      </rPr>
      <t> 646</t>
    </r>
    <r>
      <rPr>
        <b/>
        <sz val="11"/>
        <color theme="3"/>
        <rFont val="Tahoma"/>
        <family val="2"/>
        <charset val="1"/>
      </rPr>
      <t>‑</t>
    </r>
    <r>
      <rPr>
        <b/>
        <sz val="11"/>
        <color theme="3"/>
        <rFont val="等线"/>
        <family val="2"/>
        <charset val="134"/>
        <scheme val="minor"/>
      </rPr>
      <t>650.</t>
    </r>
    <phoneticPr fontId="8" type="noConversion"/>
  </si>
  <si>
    <t>Psephoderma anglicum</t>
    <phoneticPr fontId="8" type="noConversion"/>
  </si>
  <si>
    <t>206.6Ma</t>
    <phoneticPr fontId="8" type="noConversion"/>
  </si>
  <si>
    <t>205ma--N.35.22-E.0.58</t>
    <phoneticPr fontId="8" type="noConversion"/>
  </si>
  <si>
    <t xml:space="preserve">Meyer, H. (1867). Psephoderma Anglicum, aus dem Bone bed in England. Palaeontographica. </t>
    <phoneticPr fontId="8" type="noConversion"/>
  </si>
  <si>
    <t>CrusingSpeed=a*Kleiber(Jos´e Ignacio Arroyo&amp;Hirt)^b</t>
    <phoneticPr fontId="8" type="noConversion"/>
  </si>
  <si>
    <t>245ma-N.41.93--E.6.75</t>
    <phoneticPr fontId="8" type="noConversion"/>
  </si>
  <si>
    <t>245ma-N.41.93--E.6.76</t>
  </si>
  <si>
    <t>245ma-N.41.93--E.6.76</t>
    <phoneticPr fontId="7" type="noConversion"/>
  </si>
  <si>
    <t>N.41.93--E.6.76</t>
    <phoneticPr fontId="8" type="noConversion"/>
  </si>
  <si>
    <t>Crocodylus porosus</t>
    <phoneticPr fontId="7" type="noConversion"/>
  </si>
  <si>
    <t>Hamish A. Campbell, Matthew E. Watts, Scott Sullivan, Mark A. Read, Severine Choukroun, &amp; Steve R. Irwin等. Estuarine crocodiles ride surface currents to facilitate longヾistance travel.</t>
    <phoneticPr fontId="7" type="noConversion"/>
  </si>
  <si>
    <t>Dermochelys coriacea</t>
    <phoneticPr fontId="7" type="noConversion"/>
  </si>
  <si>
    <t>No</t>
    <phoneticPr fontId="7" type="noConversion"/>
  </si>
  <si>
    <t>None. (2005). Effects of diving and swimming behavior on body temperatures of pacific leatherback turtles in tropical seas. Physiological &amp; Biochemical Zoology, 78(2), 285-297.</t>
    <phoneticPr fontId="7" type="noConversion"/>
  </si>
  <si>
    <t>No*</t>
    <phoneticPr fontId="7" type="noConversion"/>
  </si>
  <si>
    <t>Bartholomew, G. A., Bennett, A. F., &amp; Dawson, W. R. (1976). Swimming, diving and lactate production of the marine iguana, Amblyrhynchus cristatus. Copeia, 709-717.</t>
  </si>
  <si>
    <t>Bartholomew, G. A., Bennett, A. F., &amp; Dawson, W. R. (1976). Swimming, diving and lactate production of the marine iguana, Amblyrhynchus cristatus. Copeia, 709-718.</t>
  </si>
  <si>
    <t>Chelonia mydas(adult)</t>
    <phoneticPr fontId="8" type="noConversion"/>
  </si>
  <si>
    <t>Prange, H. D. . (1976). Energetics of swimming of a sea turtle. Journal of Experimental Biology, 64(1), 1-10.</t>
  </si>
  <si>
    <t>Prange, H. D. . (1976). Energetics of swimming of a sea turtle. Journal of Experimental Biology, 64(1), 1-11.</t>
  </si>
  <si>
    <t>Chelonia mydas(larva)</t>
    <phoneticPr fontId="8" type="noConversion"/>
  </si>
  <si>
    <t>Amblyrhynchuscristatus（Hatchlings）</t>
    <phoneticPr fontId="8" type="noConversion"/>
  </si>
  <si>
    <t>Amblyrhynchuscristatus（Juveniles）</t>
    <phoneticPr fontId="8" type="noConversion"/>
  </si>
  <si>
    <t xml:space="preserve">American alligators </t>
    <phoneticPr fontId="7" type="noConversion"/>
  </si>
  <si>
    <t>Humpback whale</t>
    <phoneticPr fontId="7" type="noConversion"/>
  </si>
  <si>
    <t>Bryde’s whale</t>
    <phoneticPr fontId="7" type="noConversion"/>
  </si>
  <si>
    <t>Blue whale</t>
    <phoneticPr fontId="7" type="noConversion"/>
  </si>
  <si>
    <t>Minke whale</t>
    <phoneticPr fontId="7" type="noConversion"/>
  </si>
  <si>
    <t>Orcinus orca</t>
    <phoneticPr fontId="7" type="noConversion"/>
  </si>
  <si>
    <t>Isurus oxyrinchus</t>
    <phoneticPr fontId="7" type="noConversion"/>
  </si>
  <si>
    <t>Rhincodon typus</t>
    <phoneticPr fontId="7" type="noConversion"/>
  </si>
  <si>
    <t>LOG10SPEED</t>
    <phoneticPr fontId="7" type="noConversion"/>
  </si>
  <si>
    <t>LOG10HIRT</t>
    <phoneticPr fontId="7" type="noConversion"/>
  </si>
  <si>
    <t>N36.92--E122.65</t>
    <phoneticPr fontId="8" type="noConversion"/>
  </si>
  <si>
    <t>245ma-N36.92--E122.65</t>
    <phoneticPr fontId="8" type="noConversion"/>
  </si>
  <si>
    <t>n=57</t>
    <phoneticPr fontId="7" type="noConversion"/>
  </si>
  <si>
    <t>240ma--N.14.67--E.93.97
235ma--N.17.74--E.92.85</t>
    <phoneticPr fontId="8" type="noConversion"/>
  </si>
  <si>
    <t>205ma--N.35.23--E.13.69</t>
    <phoneticPr fontId="8" type="noConversion"/>
  </si>
  <si>
    <t>215ma--N28.09--W57.11</t>
    <phoneticPr fontId="7" type="noConversion"/>
  </si>
  <si>
    <t>N28.09--W57.11</t>
    <phoneticPr fontId="8" type="noConversion"/>
  </si>
  <si>
    <t xml:space="preserve">Palatodonta bleekeri
</t>
    <phoneticPr fontId="8" type="noConversion"/>
  </si>
  <si>
    <t xml:space="preserve">Paraplacodus broilli
</t>
    <phoneticPr fontId="8" type="noConversion"/>
  </si>
  <si>
    <t>Psephoderma alpinum</t>
  </si>
  <si>
    <t>/</t>
    <phoneticPr fontId="8" type="noConversion"/>
  </si>
  <si>
    <t>Glyphoderma kangi</t>
    <phoneticPr fontId="8" type="noConversion"/>
  </si>
  <si>
    <t>Besanosaurus leptorhynchus, 
Grippia longirostris,
 Mikadocephalus gracilirostris, 
Mixosaurus cornalianus, 
Mixosaurus kuhnschnyderi, 
Phalarodon atavus, 
Phantomosaurus neubigi, 
Quasianosteosaurus vikinghoegdai</t>
    <phoneticPr fontId="8" type="noConversion"/>
  </si>
  <si>
    <t>Besanosaurus leptorhynchus, 
Mikadocephalus gracilirostris, 
Mixosaurus cornalianus, 
Omphalosaurus wolfi</t>
    <phoneticPr fontId="8" type="noConversion"/>
  </si>
  <si>
    <t>Callarwayia wolongganagense, 
Qianichthyosaurus xingyiensis, 
Qianichthyosaurus zhoui, 
Shastasaurus liangae, 
Shastasaurus tangae</t>
    <phoneticPr fontId="8" type="noConversion"/>
  </si>
  <si>
    <t>Callarwayia wolongganagense, 
Shastasaurus tangae</t>
    <phoneticPr fontId="8" type="noConversion"/>
  </si>
  <si>
    <t>Cymbospondylus duelferi, 
Cymbospondylus nichollsi, 
Cymbospondylus piscosus,
 Gulosaurus helmi, 
Omphalosaurus nevadanus, 
Parvinatator wapitiensis, 
Phalarodon callawayi, 
Phalarodon fraasi, 
Thalattoarchon saurophagis</t>
    <phoneticPr fontId="8" type="noConversion"/>
  </si>
  <si>
    <t>Californosaurus perrini, 
Shastasaurus pacificus, 
Shonisaurus popularis, 
Toretocnemus californicus, 
Toretocnemus zitteli</t>
    <phoneticPr fontId="8" type="noConversion"/>
  </si>
  <si>
    <t>Callawayia neoscapularis, 
Hudsonelpidia brevirostris, 
Macgowania janiceps</t>
    <phoneticPr fontId="8" type="noConversion"/>
  </si>
  <si>
    <t>Cyamodus hildegardis, 
Cyamodus muensteri, 
Cyamodus rostratus, 
Eusaurosphargis dalsassoi, 
Helveticosaurus zollingeri, 
Paraplacodus broilli, 
Pararcus diepenbroek, 
Placodus gigas,
Palatodonta bleekeri.,
Psephosauriscus mosis,
 Psephosauriscus ramonensis,
 Psephosauriscus sinaiticus</t>
    <phoneticPr fontId="8" type="noConversion"/>
  </si>
  <si>
    <t>Cyamodus kuhnschnyderi, 
Cyamodus muensteri, 
Cyamodus rostratus, 
Helveticosaurus zollingeri, 
Henodus chelyops, 
Pararcus diepenbroek, 
Placochelys placodonta, 
Placodus gigas, 
Psephosauriscus rhombifer</t>
    <phoneticPr fontId="8" type="noConversion"/>
  </si>
  <si>
    <t>Atopodentatus unicus, 
Placodus inexpectatus</t>
    <phoneticPr fontId="8" type="noConversion"/>
  </si>
  <si>
    <t>Macroplacus raeticus, 
Psephoderma alpinum</t>
    <phoneticPr fontId="8" type="noConversion"/>
  </si>
  <si>
    <t>Barracudasauroides panxianensis, 
Cartorhynchus lenticarpus,
Chaohusaurus zhangjiawanensis 
Chaohusaurus chaoxianensis, 
Chaohusaurus geishanensis,
Chaohusaurus brevifemoralis
Sclerocormus parviceps, 
Thaisaurus chonglakmanii, 
Utatsusaurus hataii, 
Xinminosaurus catactes</t>
    <phoneticPr fontId="8" type="noConversion"/>
  </si>
  <si>
    <r>
      <t>R</t>
    </r>
    <r>
      <rPr>
        <b/>
        <sz val="11"/>
        <color rgb="FF3F3F3F"/>
        <rFont val="等线"/>
        <family val="3"/>
        <charset val="134"/>
        <scheme val="minor"/>
      </rPr>
      <t>2</t>
    </r>
    <phoneticPr fontId="7" type="noConversion"/>
  </si>
  <si>
    <t xml:space="preserve">Henodus chelyops, 
Placochelys placodonta, 
</t>
    <phoneticPr fontId="8" type="noConversion"/>
  </si>
  <si>
    <t>Cyamodus orientalis, 
Glyphoderma kangi, 
Psephochelys polyosteoderma
Sinocyamodus xinpuensis</t>
    <phoneticPr fontId="8" type="noConversion"/>
  </si>
  <si>
    <t xml:space="preserve">
Shastasaurus pacificus</t>
    <phoneticPr fontId="8" type="noConversion"/>
  </si>
  <si>
    <t>Cymbospondylus duelferi, 
Cymbospondylus piscosus, 
Parvinatator wapitiensis, 
Cymbospondylus nichollsi, 
Phalarodon callawayi, 
Phalarodon fraasi</t>
    <phoneticPr fontId="8" type="noConversion"/>
  </si>
  <si>
    <t>Mixosaurus cornalianus（=Mixosaurus kuhnschnyderi）</t>
    <phoneticPr fontId="8" type="noConversion"/>
  </si>
  <si>
    <t>Chaohusaurus zhangjiawanensis(=Chaohusaurus brevifemoralis)</t>
    <phoneticPr fontId="8" type="noConversion"/>
  </si>
  <si>
    <t>Species</t>
    <phoneticPr fontId="8" type="noConversion"/>
  </si>
  <si>
    <t>Body length（m）</t>
    <phoneticPr fontId="8" type="noConversion"/>
  </si>
  <si>
    <t>Body volume(m^3)</t>
    <phoneticPr fontId="8" type="noConversion"/>
  </si>
  <si>
    <t>Body mass(kg)</t>
    <phoneticPr fontId="8" type="noConversion"/>
  </si>
  <si>
    <t>Body fat mass（kg）</t>
    <phoneticPr fontId="8" type="noConversion"/>
  </si>
  <si>
    <t>Heat storage(kcal)</t>
    <phoneticPr fontId="8" type="noConversion"/>
  </si>
  <si>
    <t>Storage:
Conversion of heat energy into mechanical energy(kJ)</t>
    <phoneticPr fontId="8" type="noConversion"/>
  </si>
  <si>
    <t>Use temperature factor correction and Kleiber's equation to calculate metabolic rate.</t>
    <phoneticPr fontId="8" type="noConversion"/>
  </si>
  <si>
    <t>Mass factor correction and relationship to locomotor speed</t>
    <phoneticPr fontId="8" type="noConversion"/>
  </si>
  <si>
    <t>Cruising speed predicted by regression curve</t>
    <phoneticPr fontId="8" type="noConversion"/>
  </si>
  <si>
    <t>Efficiency of energy conversion to work, E</t>
    <phoneticPr fontId="8" type="noConversion"/>
  </si>
  <si>
    <t>Derivation of body-supplied swimming power using Kleiber's equation(J/s)</t>
    <phoneticPr fontId="8" type="noConversion"/>
  </si>
  <si>
    <t>Linear migration distance following complete depletion of fat energy in one boutL(km)</t>
    <phoneticPr fontId="8" type="noConversion"/>
  </si>
  <si>
    <t>Theoretical maximum lifespan（year）</t>
    <phoneticPr fontId="8" type="noConversion"/>
  </si>
  <si>
    <t>max_altitude: altitude（m）</t>
    <phoneticPr fontId="8" type="noConversion"/>
  </si>
  <si>
    <t>adult_weight：body mass（g）</t>
    <phoneticPr fontId="8" type="noConversion"/>
  </si>
  <si>
    <t>Statistical analysis and calculation of reptile lifespan</t>
    <phoneticPr fontId="8" type="noConversion"/>
  </si>
  <si>
    <t>Percentage of energy recovery in U-shaped diving</t>
    <phoneticPr fontId="8" type="noConversion"/>
  </si>
  <si>
    <t>Gliding resistance to dynamic resistance(Blake 1983; Lighthill 1971; Alexander.1977）</t>
    <phoneticPr fontId="8" type="noConversion"/>
  </si>
  <si>
    <t>Efficiency of Ichthyosaur Locomotor Components</t>
    <phoneticPr fontId="8" type="noConversion"/>
  </si>
  <si>
    <t>Efficiency of Amphibious Locomotor Components</t>
    <phoneticPr fontId="8" type="noConversion"/>
  </si>
  <si>
    <t>Basal metabolic cost of reptiles</t>
    <phoneticPr fontId="8" type="noConversion"/>
  </si>
  <si>
    <t>Muscle efficiency of reptiles</t>
    <phoneticPr fontId="8" type="noConversion"/>
  </si>
  <si>
    <t>Formula for predicting ichthyosaur cruising speed</t>
    <phoneticPr fontId="8" type="noConversion"/>
  </si>
  <si>
    <t>Formula for predicting cruising speed of Placodontia</t>
    <phoneticPr fontId="8" type="noConversion"/>
  </si>
  <si>
    <t>Assumed body temperature</t>
    <phoneticPr fontId="8" type="noConversion"/>
  </si>
  <si>
    <t>Biological Deduction Information</t>
    <phoneticPr fontId="8" type="noConversion"/>
  </si>
  <si>
    <t>Calculation of Biological Metabolic Performance</t>
    <phoneticPr fontId="8" type="noConversion"/>
  </si>
  <si>
    <t>Classic Kleiber equation</t>
    <phoneticPr fontId="8" type="noConversion"/>
  </si>
  <si>
    <t xml:space="preserve">Gillooly Modified Kleiber equation Incorporation of temperature factor
（Gillooly et al., Nature 2002）
</t>
    <phoneticPr fontId="8" type="noConversion"/>
  </si>
  <si>
    <r>
      <t>Hirt mass factor for bodysize</t>
    </r>
    <r>
      <rPr>
        <sz val="11"/>
        <color theme="1"/>
        <rFont val="Cambria Math"/>
        <family val="2"/>
        <charset val="1"/>
      </rPr>
      <t>‑</t>
    </r>
    <r>
      <rPr>
        <sz val="11"/>
        <color theme="1"/>
        <rFont val="等线"/>
        <family val="2"/>
        <charset val="134"/>
        <scheme val="minor"/>
      </rPr>
      <t>dependent speed</t>
    </r>
    <phoneticPr fontId="8" type="noConversion"/>
  </si>
  <si>
    <r>
      <t>M: Mass, kg
E: Activation energy (empirical value = 0.6 eV)
e: Elementary charge (1.602176634×10</t>
    </r>
    <r>
      <rPr>
        <sz val="11"/>
        <color theme="1"/>
        <rFont val="Cambria Math"/>
        <family val="2"/>
        <charset val="1"/>
      </rPr>
      <t>⁻</t>
    </r>
    <r>
      <rPr>
        <sz val="11"/>
        <color theme="1"/>
        <rFont val="等线"/>
        <family val="2"/>
        <charset val="134"/>
        <scheme val="minor"/>
      </rPr>
      <t>¹</t>
    </r>
    <r>
      <rPr>
        <sz val="11"/>
        <color theme="1"/>
        <rFont val="Cambria Math"/>
        <family val="2"/>
        <charset val="1"/>
      </rPr>
      <t>⁹</t>
    </r>
    <r>
      <rPr>
        <sz val="11"/>
        <color theme="1"/>
        <rFont val="等线"/>
        <family val="2"/>
        <charset val="134"/>
        <scheme val="minor"/>
      </rPr>
      <t xml:space="preserve"> C)
T: Body temperature (T)
e: Natural constant (Euler’s number)
k: Boltzmann constant (8.617×10</t>
    </r>
    <r>
      <rPr>
        <sz val="11"/>
        <color theme="1"/>
        <rFont val="Cambria Math"/>
        <family val="2"/>
        <charset val="1"/>
      </rPr>
      <t>⁻⁵</t>
    </r>
    <r>
      <rPr>
        <sz val="11"/>
        <color theme="1"/>
        <rFont val="等线"/>
        <family val="2"/>
        <charset val="134"/>
        <scheme val="minor"/>
      </rPr>
      <t xml:space="preserve"> eV·K</t>
    </r>
    <r>
      <rPr>
        <sz val="11"/>
        <color theme="1"/>
        <rFont val="Cambria Math"/>
        <family val="2"/>
        <charset val="1"/>
      </rPr>
      <t>⁻</t>
    </r>
    <r>
      <rPr>
        <sz val="11"/>
        <color theme="1"/>
        <rFont val="等线"/>
        <family val="2"/>
        <charset val="134"/>
        <scheme val="minor"/>
      </rPr>
      <t>¹)</t>
    </r>
    <phoneticPr fontId="8" type="noConversion"/>
  </si>
  <si>
    <t>Reptile Kleiber a-value</t>
    <phoneticPr fontId="8" type="noConversion"/>
  </si>
  <si>
    <t>Reptilian Kleiber b-value</t>
    <phoneticPr fontId="8" type="noConversion"/>
  </si>
  <si>
    <t>Ek: Metabolic rate---M: Body mass</t>
    <phoneticPr fontId="8" type="noConversion"/>
  </si>
  <si>
    <t>Biological Morphology and Mass</t>
    <phoneticPr fontId="8" type="noConversion"/>
  </si>
  <si>
    <t>Body density (kg/m³) – assumed equal to seawater density</t>
    <phoneticPr fontId="8" type="noConversion"/>
  </si>
  <si>
    <t>Energy per unit fat mass, kcal/kg</t>
    <phoneticPr fontId="8" type="noConversion"/>
  </si>
  <si>
    <t>Calorie-to-work joule conversion product (cal/J)</t>
    <phoneticPr fontId="8" type="noConversion"/>
  </si>
  <si>
    <t>Baseline Body mass fat ratio</t>
    <phoneticPr fontId="8" type="noConversion"/>
  </si>
  <si>
    <t>Low Body mass fat ratio=11.67%</t>
    <phoneticPr fontId="8" type="noConversion"/>
  </si>
  <si>
    <t>High Body mass fat ratio=21.67%</t>
    <phoneticPr fontId="8" type="noConversion"/>
  </si>
  <si>
    <t>Ichthyosaurs</t>
    <phoneticPr fontId="8" type="noConversion"/>
  </si>
  <si>
    <t>Placodontia</t>
    <phoneticPr fontId="8" type="noConversion"/>
  </si>
  <si>
    <t>Parameter Definitions and References</t>
    <phoneticPr fontId="7" type="noConversion"/>
  </si>
  <si>
    <t>Adjusted R-squared</t>
    <phoneticPr fontId="7" type="noConversion"/>
  </si>
  <si>
    <t>P-value</t>
    <phoneticPr fontId="7" type="noConversion"/>
  </si>
  <si>
    <t>F-test</t>
    <phoneticPr fontId="7" type="noConversion"/>
  </si>
  <si>
    <t>Residual Sum of Squares</t>
    <phoneticPr fontId="7" type="noConversion"/>
  </si>
  <si>
    <t>Multiple linear regression SPEED~Kleiber&amp;Jos&amp;Hirt&amp;TEMPER</t>
    <phoneticPr fontId="7" type="noConversion"/>
  </si>
  <si>
    <t>Linear regression SPEED~Kleiber&amp;Jos&amp;Hirt</t>
    <phoneticPr fontId="7" type="noConversion"/>
  </si>
  <si>
    <t>Linear regression SPEED~Kleiber&amp;Jos</t>
    <phoneticPr fontId="7" type="noConversion"/>
  </si>
  <si>
    <t>Linear regression SPEED~Kleiber</t>
    <phoneticPr fontId="7" type="noConversion"/>
  </si>
  <si>
    <t>Linear regression SPEED~Kilogram</t>
    <phoneticPr fontId="7" type="noConversion"/>
  </si>
  <si>
    <t>Fish</t>
    <phoneticPr fontId="7" type="noConversion"/>
  </si>
  <si>
    <t xml:space="preserve">
X: Paleogeological time
Y: Occurring species</t>
    <phoneticPr fontId="8" type="noConversion"/>
  </si>
  <si>
    <t>Palaeo-European</t>
    <phoneticPr fontId="8" type="noConversion"/>
  </si>
  <si>
    <t>Palaeo-Asian</t>
    <phoneticPr fontId="8" type="noConversion"/>
  </si>
  <si>
    <t>Palaeo-North America</t>
    <phoneticPr fontId="8" type="noConversion"/>
  </si>
  <si>
    <r>
      <t>deltaC/R+</t>
    </r>
    <r>
      <rPr>
        <sz val="11"/>
        <color theme="1"/>
        <rFont val="等线"/>
        <family val="3"/>
        <charset val="134"/>
      </rPr>
      <t>ɑ</t>
    </r>
    <r>
      <rPr>
        <sz val="11"/>
        <color theme="1"/>
        <rFont val="等线"/>
        <family val="2"/>
        <charset val="134"/>
        <scheme val="minor"/>
      </rPr>
      <t xml:space="preserve">           (Macro condition ɑ = 0)</t>
    </r>
    <phoneticPr fontId="7" type="noConversion"/>
  </si>
  <si>
    <t>Homeotherm</t>
    <phoneticPr fontId="7" type="noConversion"/>
  </si>
  <si>
    <t>Ectotherm</t>
    <phoneticPr fontId="7" type="noConversion"/>
  </si>
  <si>
    <t>Jos´e Ignacio Arroyo Temperature Effect Calculation</t>
    <phoneticPr fontId="7" type="noConversion"/>
  </si>
  <si>
    <t>Amphibians</t>
    <phoneticPr fontId="7" type="noConversion"/>
  </si>
  <si>
    <t>Majiashan Quarry, Chaohu, Anhui, China</t>
    <phoneticPr fontId="8" type="noConversion"/>
  </si>
  <si>
    <t>Zhangjiawan Quarry, Yuan'an County, Hubei, China</t>
  </si>
  <si>
    <t>Zhangjiawan Quarry, Yuan'an County, Hubei, China</t>
    <phoneticPr fontId="8" type="noConversion"/>
  </si>
  <si>
    <t>Guanling, Guizhou, China</t>
  </si>
  <si>
    <t>Guanling, Guizhou, China</t>
    <phoneticPr fontId="8" type="noConversion"/>
  </si>
  <si>
    <t>Xingyi, Guizhou, China</t>
  </si>
  <si>
    <t>Xingyi, Guizhou, China</t>
    <phoneticPr fontId="8" type="noConversion"/>
  </si>
  <si>
    <t>Panxian, Guizhou, China</t>
  </si>
  <si>
    <t>Panxian, Guizhou, China</t>
    <phoneticPr fontId="8" type="noConversion"/>
  </si>
  <si>
    <t>Xindian Town, Pu'an County, Guizhou, China</t>
  </si>
  <si>
    <t>Xindian Town, Pu'an County, Guizhou, China</t>
    <phoneticPr fontId="8" type="noConversion"/>
  </si>
  <si>
    <t>Fuyuan, Yunnan, China</t>
  </si>
  <si>
    <t>Fuyuan, Yunnan, China</t>
    <phoneticPr fontId="8" type="noConversion"/>
  </si>
  <si>
    <t>Luoping, Yunnan, China</t>
  </si>
  <si>
    <t>Luoping, Yunnan, China</t>
    <phoneticPr fontId="8" type="noConversion"/>
  </si>
  <si>
    <t>Nyalam County, Xizang Autonomous Region, China</t>
  </si>
  <si>
    <t>Nyalam County, Xizang Autonomous Region, China</t>
    <phoneticPr fontId="8" type="noConversion"/>
  </si>
  <si>
    <t>Southwestern Timor Island, East Nusa Tenggara Province, Indonesia</t>
  </si>
  <si>
    <t>Southwestern Timor Island, East Nusa Tenggara Province, Indonesia</t>
    <phoneticPr fontId="8" type="noConversion"/>
  </si>
  <si>
    <t>Phatthalung Province, southern Thailand</t>
  </si>
  <si>
    <t>Phatthalung Province, southern Thailand</t>
    <phoneticPr fontId="8" type="noConversion"/>
  </si>
  <si>
    <t>Minamisanriku Town, Miyagi Prefecture, Japan</t>
    <phoneticPr fontId="8" type="noConversion"/>
  </si>
  <si>
    <t>Katowice, Upper Silesia, Poland</t>
  </si>
  <si>
    <t>Katowice, Upper Silesia, Poland</t>
    <phoneticPr fontId="8" type="noConversion"/>
  </si>
  <si>
    <t>Rüdersdorf Quarry, near Berlin, Germany</t>
    <phoneticPr fontId="8" type="noConversion"/>
  </si>
  <si>
    <t>Brandenburg, Germany</t>
  </si>
  <si>
    <t>Brandenburg, Germany</t>
    <phoneticPr fontId="8" type="noConversion"/>
  </si>
  <si>
    <t>Bavaria, Germany</t>
  </si>
  <si>
    <t>Bavaria, Germany</t>
    <phoneticPr fontId="8" type="noConversion"/>
  </si>
  <si>
    <t>Baden-Württemberg, Germany</t>
  </si>
  <si>
    <t>Baden-Württemberg, Germany</t>
    <phoneticPr fontId="8" type="noConversion"/>
  </si>
  <si>
    <t>Homberg, Hesse, Germany</t>
  </si>
  <si>
    <t>Homberg, Hesse, Germany</t>
    <phoneticPr fontId="8" type="noConversion"/>
  </si>
  <si>
    <t>Dürrnberg Mountain, Salzburg Alps, Austria</t>
  </si>
  <si>
    <t>Dürrnberg Mountain, Salzburg Alps, Austria</t>
    <phoneticPr fontId="8" type="noConversion"/>
  </si>
  <si>
    <t>Ticino, Switzerland</t>
  </si>
  <si>
    <t>Ticino, Switzerland</t>
    <phoneticPr fontId="8" type="noConversion"/>
  </si>
  <si>
    <t>Monte San Giorgio, Switzerland</t>
  </si>
  <si>
    <t>Monte San Giorgio, Switzerland</t>
    <phoneticPr fontId="8" type="noConversion"/>
  </si>
  <si>
    <t>Schesaplana, Graubünden, Switzerland</t>
  </si>
  <si>
    <t>Schesaplana, Graubünden, Switzerland</t>
    <phoneticPr fontId="8" type="noConversion"/>
  </si>
  <si>
    <t>Southern slope of the Swiss Alps</t>
  </si>
  <si>
    <t>Southern slope of the Swiss Alps</t>
    <phoneticPr fontId="8" type="noConversion"/>
  </si>
  <si>
    <t>Ticino, Switzerland / Italian border</t>
  </si>
  <si>
    <t>Ticino, Switzerland / Italian border</t>
    <phoneticPr fontId="8" type="noConversion"/>
  </si>
  <si>
    <t>Graubünden, Switzerland and Vorarlberg, Austria</t>
  </si>
  <si>
    <t>Graubünden, Switzerland and Vorarlberg, Austria</t>
    <phoneticPr fontId="8" type="noConversion"/>
  </si>
  <si>
    <t>Zorzino, Province of Bergamo, Italy</t>
  </si>
  <si>
    <t>Zorzino, Province of Bergamo, Italy</t>
    <phoneticPr fontId="8" type="noConversion"/>
  </si>
  <si>
    <t>Lombardy, Italy</t>
  </si>
  <si>
    <t>Lombardy, Italy</t>
    <phoneticPr fontId="8" type="noConversion"/>
  </si>
  <si>
    <t>Ardesio, Province of Bergamo, Italy</t>
  </si>
  <si>
    <t>Ardesio, Province of Bergamo, Italy</t>
    <phoneticPr fontId="8" type="noConversion"/>
  </si>
  <si>
    <t>Besano, Italy</t>
  </si>
  <si>
    <t>Besano, Italy</t>
    <phoneticPr fontId="8" type="noConversion"/>
  </si>
  <si>
    <t>Dolomite Mountains, northeastern Italy</t>
  </si>
  <si>
    <t>Dolomite Mountains, northeastern Italy</t>
    <phoneticPr fontId="8" type="noConversion"/>
  </si>
  <si>
    <t>Spitsbergen Island, Svalbard, Norway</t>
    <phoneticPr fontId="8" type="noConversion"/>
  </si>
  <si>
    <t>Winterswijk Quarry, Netherlands</t>
  </si>
  <si>
    <t>Winterswijk Quarry, Netherlands</t>
    <phoneticPr fontId="8" type="noConversion"/>
  </si>
  <si>
    <t>South Gloucestershire, United Kingdom</t>
  </si>
  <si>
    <t>South Gloucestershire, United Kingdom</t>
    <phoneticPr fontId="8" type="noConversion"/>
  </si>
  <si>
    <t>Transdanubian Mountains, central-western Hungary</t>
  </si>
  <si>
    <t>Transdanubian Mountains, central-western Hungary</t>
    <phoneticPr fontId="8" type="noConversion"/>
  </si>
  <si>
    <t>El Atance Reservoir, Province of Guadalajara, central Spain</t>
    <phoneticPr fontId="8" type="noConversion"/>
  </si>
  <si>
    <t>Negev Desert, Israel</t>
  </si>
  <si>
    <t>Negev Desert, Israel</t>
    <phoneticPr fontId="8" type="noConversion"/>
  </si>
  <si>
    <t>Araif en Naqua, Sinai Peninsula, Egypt</t>
  </si>
  <si>
    <t>Araif en Naqua, Sinai Peninsula, Egypt</t>
    <phoneticPr fontId="8" type="noConversion"/>
  </si>
  <si>
    <t>N.16.31--E.26.86 or N.5.32--E.25.12</t>
    <phoneticPr fontId="8" type="noConversion"/>
  </si>
  <si>
    <t>Northern British Columbia, Canada</t>
    <phoneticPr fontId="8" type="noConversion"/>
  </si>
  <si>
    <t>Williston Lake, central‑western British Columbia, Canada</t>
  </si>
  <si>
    <t>California, USA</t>
    <phoneticPr fontId="8" type="noConversion"/>
  </si>
  <si>
    <t>Augusta Mountains, Nevada, USA</t>
  </si>
  <si>
    <t>Augusta Mountains, Nevada, USA</t>
    <phoneticPr fontId="8" type="noConversion"/>
  </si>
  <si>
    <t>Humboldt Mountains, Nevada, USA</t>
    <phoneticPr fontId="8" type="noConversion"/>
  </si>
  <si>
    <t>Young America Canyon, Nevada, USA</t>
  </si>
  <si>
    <t>Young America Canyon, Nevada, USA</t>
    <phoneticPr fontId="8" type="noConversion"/>
  </si>
  <si>
    <t>Lovelock, Nevada, USA</t>
  </si>
  <si>
    <t>Lovelock, Nevada, USA</t>
    <phoneticPr fontId="8" type="noConversion"/>
  </si>
  <si>
    <t>Mount Shasta, California, USA</t>
  </si>
  <si>
    <t>Mount Shasta, California, USA</t>
    <phoneticPr fontId="8" type="noConversion"/>
  </si>
  <si>
    <t>Shoshone Mountains, Nevada, USA</t>
  </si>
  <si>
    <t>Shoshone Mountains, Nevada, USA</t>
    <phoneticPr fontId="8" type="noConversion"/>
  </si>
  <si>
    <t>Shasta County, California, USA</t>
  </si>
  <si>
    <t>Shasta County, California, USA</t>
    <phoneticPr fontId="8" type="noConversion"/>
  </si>
  <si>
    <t>Williston Lake, central‑western British Columbia, Canada</t>
    <phoneticPr fontId="8" type="noConversion"/>
  </si>
  <si>
    <t>Palaeo-Middle East</t>
    <phoneticPr fontId="8" type="noConversion"/>
  </si>
  <si>
    <t xml:space="preserve">
                                                       Paleogeological Time Coordinates
Fossil Locality</t>
    <phoneticPr fontId="8" type="noConversion"/>
  </si>
  <si>
    <t>Scientific Name</t>
    <phoneticPr fontId="7" type="noConversion"/>
  </si>
  <si>
    <t>Stratum Name</t>
  </si>
  <si>
    <t>Geological Time</t>
  </si>
  <si>
    <t>Locality</t>
  </si>
  <si>
    <t>Paleogeographic Coordinates (Projected)</t>
  </si>
  <si>
    <t>Remarks</t>
    <phoneticPr fontId="7" type="noConversion"/>
  </si>
  <si>
    <t>Fossil Length/Estimated Length</t>
  </si>
  <si>
    <t>Holotype/Reference</t>
  </si>
  <si>
    <t>Helveticosaurus zollingeri
(Refer to standard reconstruction model)</t>
    <phoneticPr fontId="8" type="noConversion"/>
  </si>
  <si>
    <t>Eusaurosphargis dalsassoi
(Refer to standard reconstruction model)</t>
    <phoneticPr fontId="8" type="noConversion"/>
  </si>
  <si>
    <t>Atopodentatus unicus
(Refer to standard reconstruction model)</t>
    <phoneticPr fontId="8" type="noConversion"/>
  </si>
  <si>
    <t>Placodus gigas
(Refer to standard reconstruction model)</t>
    <phoneticPr fontId="8" type="noConversion"/>
  </si>
  <si>
    <t>Cyamodus hildegardis
(Refer to standard reconstruction model)</t>
    <phoneticPr fontId="8" type="noConversion"/>
  </si>
  <si>
    <t>Sinocyamodus xinpuensis
(Refer to standard reconstruction model)</t>
    <phoneticPr fontId="8" type="noConversion"/>
  </si>
  <si>
    <t>Cyamodus orientalis
(Refer to standard reconstruction model)</t>
    <phoneticPr fontId="8" type="noConversion"/>
  </si>
  <si>
    <t>Henodus chelyops
(Refer to standard reconstruction model)</t>
    <phoneticPr fontId="8" type="noConversion"/>
  </si>
  <si>
    <t>Glyphoderma kangi
(Refer to standard reconstruction model)</t>
    <phoneticPr fontId="8" type="noConversion"/>
  </si>
  <si>
    <t>Psephochelys polyosteoderma
(Refer to standard reconstruction model)</t>
    <phoneticPr fontId="8" type="noConversion"/>
  </si>
  <si>
    <t>Psephoderma alpinum
(Refer to standard reconstruction model)</t>
    <phoneticPr fontId="8" type="noConversion"/>
  </si>
  <si>
    <t>Middle Triassic / Anisian - Besano Formation</t>
  </si>
  <si>
    <t>Middle Triassic / Anisian - Guanling Formation</t>
  </si>
  <si>
    <t>Middle Triassic / Anisian-Ladinian - Besano Formation</t>
  </si>
  <si>
    <t>Middle Triassic / Anisian - none</t>
  </si>
  <si>
    <t>Middle Triassic / Anisian-Ladinian - Calcare di Recoaro Formation</t>
  </si>
  <si>
    <t>Middle Triassic / Anisian - Erfurt Formation</t>
  </si>
  <si>
    <t>Middle Triassic / Anisian - Gevanim Formation</t>
  </si>
  <si>
    <t>Middle Triassic / Anisian - NaN</t>
  </si>
  <si>
    <t>Late Triassic / Carnian - Falang Formation</t>
  </si>
  <si>
    <t>Middle Triassic / Anisian - Karchowice Formation</t>
  </si>
  <si>
    <t>Middle Triassic / Anisian-Ladinian - Muschelkalk Group</t>
  </si>
  <si>
    <t>Late Triassic / Carnian - Rio del Lago Formation</t>
  </si>
  <si>
    <t>Late Triassic / Carnian - Grabfeld Formation / Gipskeuper / Salzkeuper</t>
  </si>
  <si>
    <t>Late Triassic / Carnian - Keuper Facies</t>
  </si>
  <si>
    <t>Middle Triassic / Ladinian - Falang Formation</t>
  </si>
  <si>
    <t>Middle-Late Triassic / Anisian-Carnian? - Veszprém Marl Formation</t>
  </si>
  <si>
    <t>Late Triassic / Rhaetian - Kössen Formation / Kossen Formation / Kössener Sch…</t>
  </si>
  <si>
    <t>Middle Triassic / Anisian-Ladinian? - Saharonim Formation</t>
  </si>
  <si>
    <t>Late Triassic / Norian-Rhaetian - Calcare di Zu</t>
  </si>
  <si>
    <t>Late Triassic / Rhaetian - Westbury Formation</t>
  </si>
  <si>
    <t>Middle Triassic / Anisian - Vossenveld Formation</t>
    <phoneticPr fontId="7" type="noConversion"/>
  </si>
  <si>
    <t>Graubünden, Switzerland; northern Italy</t>
  </si>
  <si>
    <t>Border area of Monte San Giorgio, Switzerland and Italy</t>
  </si>
  <si>
    <t>Xinpu Town, Guanling County, Guizhou, China</t>
  </si>
  <si>
    <t>Northern Bavaria, Germany</t>
  </si>
  <si>
    <t>Guanling County, Guizhou, China</t>
  </si>
  <si>
    <t>El Atance Reservoir, Guadalajara Province, central Spain</t>
  </si>
  <si>
    <t>Fuyuan, Yunnan / Xingyi, Guizhou, China</t>
  </si>
  <si>
    <t>Baden-Württemberg, Germany / Transdanubian Mountains, central-western Hungary / Ardesio Town, Province of Bergamo, Italy</t>
  </si>
  <si>
    <t>Complete fossil</t>
  </si>
  <si>
    <t>Complete fossil (juvenile)</t>
  </si>
  <si>
    <t>Skull (juvenile)</t>
  </si>
  <si>
    <t>Skull and partial trunk skeleton</t>
  </si>
  <si>
    <t>Incomplete</t>
  </si>
  <si>
    <t>Partially incomplete fossil</t>
  </si>
  <si>
    <t>Severely incomplete</t>
  </si>
  <si>
    <t>Dorsal plate</t>
  </si>
  <si>
    <t>Dorsal carapace and ventral carapace</t>
  </si>
  <si>
    <t>Dorsal carapace only</t>
  </si>
  <si>
    <t>Skull fragment</t>
  </si>
  <si>
    <t>Skull fragments and several axial fragments</t>
  </si>
  <si>
    <t>Skull</t>
  </si>
  <si>
    <t>Relatively well-preserved (complemented by multiple specimens)</t>
  </si>
  <si>
    <t>Skull and dorsal carapace</t>
  </si>
  <si>
    <t>Isolated fragmented plates only</t>
  </si>
  <si>
    <t>Skull mold only</t>
    <phoneticPr fontId="7" type="noConversion"/>
  </si>
  <si>
    <t>Only scattered plates</t>
    <phoneticPr fontId="8" type="noConversion"/>
  </si>
  <si>
    <t>Compared with *Henodus chelyops</t>
    <phoneticPr fontId="8" type="noConversion"/>
  </si>
  <si>
    <t>Compared with Paraplacodus broilii</t>
    <phoneticPr fontId="8" type="noConversion"/>
  </si>
  <si>
    <t>Adjacent to Monte San Giorgio</t>
  </si>
  <si>
    <t>Cartorhynchus lenticarpus
(Refer to standard reconstruction model)</t>
    <phoneticPr fontId="8" type="noConversion"/>
  </si>
  <si>
    <t>Sclerocormus parviceps
(Refer to standard reconstruction model)</t>
    <phoneticPr fontId="8" type="noConversion"/>
  </si>
  <si>
    <t>Chaohusaurus geishanensis
(Refer to standard reconstruction model)</t>
    <phoneticPr fontId="8" type="noConversion"/>
  </si>
  <si>
    <t>Omphalosaurus wolfi
(Refer to standard reconstruction model)</t>
    <phoneticPr fontId="8" type="noConversion"/>
  </si>
  <si>
    <t>Parvinatator wapitiensis
(Refer to standard reconstruction model)</t>
    <phoneticPr fontId="8" type="noConversion"/>
  </si>
  <si>
    <t>Utatsusaurus hataii
(Refer to standard reconstruction model)</t>
    <phoneticPr fontId="8" type="noConversion"/>
  </si>
  <si>
    <t>Grippia longirostris
(Refer to standard reconstruction model)</t>
    <phoneticPr fontId="8" type="noConversion"/>
  </si>
  <si>
    <t>Barracudasauroides panxianensis
(Refer to standard reconstruction model)</t>
    <phoneticPr fontId="8" type="noConversion"/>
  </si>
  <si>
    <t>Mixosaurus cornalianus
(Refer to standard reconstruction model)</t>
    <phoneticPr fontId="8" type="noConversion"/>
  </si>
  <si>
    <t>Phalarodon atavus
(Refer to standard reconstruction model)</t>
    <phoneticPr fontId="8" type="noConversion"/>
  </si>
  <si>
    <t>Cymbospondylus buchseri
(Refer to standard reconstruction model)</t>
    <phoneticPr fontId="8" type="noConversion"/>
  </si>
  <si>
    <t>Shastasaurus liangae
(Refer to standard reconstruction model)</t>
    <phoneticPr fontId="8" type="noConversion"/>
  </si>
  <si>
    <t>Shastasaurus tangae
(Refer to standard reconstruction model)</t>
    <phoneticPr fontId="8" type="noConversion"/>
  </si>
  <si>
    <t>Qianichthyosaurus zhoui
(Refer to standard reconstruction model)</t>
    <phoneticPr fontId="8" type="noConversion"/>
  </si>
  <si>
    <t>Hudsonelpidia brevirostris
(Refer to standard reconstruction model)</t>
    <phoneticPr fontId="8" type="noConversion"/>
  </si>
  <si>
    <t>Early Triassic / Olenekian / Spathian - Nanlinghu Formation</t>
  </si>
  <si>
    <t>Early Triassic / Olenekian / Spathian - Vikinghøgda Formation</t>
  </si>
  <si>
    <t>Middle Triassic / Anisian / Bithynian - Jena Formation</t>
  </si>
  <si>
    <t>Early-Middle Triassic / Olenekian-Anisian / Spathian-Bithynian? - Prida Formation</t>
  </si>
  <si>
    <t>Middle Triassic / Anisian - Prida Formation</t>
  </si>
  <si>
    <t>Middle Triassic / Ladinian / Fassanian? - Lercheck Limestone Formation</t>
  </si>
  <si>
    <t>Early Triassic / Olenekian / Spathian - Sulphur Mountain Formation</t>
  </si>
  <si>
    <t>Early Triassic / Olenekian / Spathian - Osawa Formation</t>
  </si>
  <si>
    <t>Middle Triassic / Anisian-Ladinian - M. Bivera Formation</t>
  </si>
  <si>
    <t>Middle-Late Triassic / Ladinian-Carnian - NaN</t>
  </si>
  <si>
    <t>Middle Triassic / Anisian / Pelsonian - Guanling Formation</t>
  </si>
  <si>
    <t>Early-Middle Triassic / Olenekian-Anisian / Spathian-Bithynian? - Freudenstadt Formation</t>
  </si>
  <si>
    <t>Middle Triassic / Anisian-Ladinian - Favret Formation</t>
  </si>
  <si>
    <t>Middle Triassic / Anisian - Favret Formation</t>
  </si>
  <si>
    <t>Late Triassic - Qulonggongba Formation</t>
  </si>
  <si>
    <t>Middle Triassic / Anisian - Trochitenkalk Formation/Bindlach Formation</t>
  </si>
  <si>
    <t>Late Triassic / Carnian - Antimonio Formation</t>
  </si>
  <si>
    <t>Late Triassic / Norian - Pardonet Formation</t>
  </si>
  <si>
    <t>Late Triassic / Carnian - none</t>
  </si>
  <si>
    <t>Late Triassic / Carnian-Norian - Luning Formation</t>
  </si>
  <si>
    <t>Late Triassic / Carnian - Hosselkus Formation/Hosselkus Limestone</t>
  </si>
  <si>
    <t>Middle Triassic / Anisian-Ladinian - Freudenstadt Formation</t>
  </si>
  <si>
    <t>Majia Mountain Quarry, Chaohu, Anhui, China</t>
  </si>
  <si>
    <t>Spitsbergen, Svalbard, Norway</t>
  </si>
  <si>
    <t>Rüdersdorf Quarry near Berlin, Germany</t>
  </si>
  <si>
    <t>Humboldt Mountain Range, Nevada, USA</t>
  </si>
  <si>
    <t>Williston Lake, central-western British Columbia, Canada</t>
  </si>
  <si>
    <t>Minami-Sanriku, Miyagi Prefecture, Japan</t>
  </si>
  <si>
    <t>Williston Lake, British Columbia, Canada</t>
  </si>
  <si>
    <t>Border of Ticino, Switzerland / Lombardy, Italy</t>
  </si>
  <si>
    <t>Border area of Monte San Giorgio, Switzerland and Italy, Hallstatt, Salzkammergut, Austria, Phalarodon cf. atavus from Yunnan/Xingyi, China</t>
  </si>
  <si>
    <t>Humboldt Mountain Range, Nevada, USA, Williston Lake, British Columbia, Canada, Svalbard, Norway, taxon inquirendum from Panxian, China</t>
  </si>
  <si>
    <t>Augusta Mountains, Nevada, USA, taxon inquirendum from the following localities: British Columbia, Canada, Svalbard, Norway</t>
  </si>
  <si>
    <t>Monte San Giorgio, Switzerland, taxon inquirendum from the southern Alps, Italy</t>
  </si>
  <si>
    <t>Augusta Mountains, Nevada, USA, taxon inquirendum from British Columbia, Canada</t>
  </si>
  <si>
    <t>Karlstadt, Bavaria, Germany</t>
  </si>
  <si>
    <t>Stawamus Chief, British Columbia, Canada, taxon inquirendum from Guanling, Guizhou, China</t>
  </si>
  <si>
    <t>Border area of Monte San Giorgio, Switzerland and Italy, taxon inquirendum from the following localities: Valais, Switzerland, Baden-Württemberg, Germany</t>
  </si>
  <si>
    <t>Guanling, Guizhou, China, highly similar to Toretocnemus californicus from the Carnian of North America</t>
  </si>
  <si>
    <t>Relatively complete (skull, pectoral girdle, forelimbs and partial trunk)</t>
  </si>
  <si>
    <t>Partially complete (skull, vertebrae and limb bone fragments)</t>
  </si>
  <si>
    <t>Nearly complete skeleton</t>
  </si>
  <si>
    <t>Relatively complete (skull and complete trunk skeleton)</t>
  </si>
  <si>
    <t>Partially complete (skull, vertebrae and limbs)</t>
  </si>
  <si>
    <t>Complete (nearly complete skeleton)</t>
  </si>
  <si>
    <t>Relatively complete (skull, trunk and limb bones)</t>
  </si>
  <si>
    <t>Only one isolated specimen of humerus found</t>
  </si>
  <si>
    <t>Partially complete (skull and jaw fragments)</t>
  </si>
  <si>
    <t>Only several jaw fragments</t>
  </si>
  <si>
    <t>Only mandibular fragment</t>
  </si>
  <si>
    <t>Only mandibular fragment and partial anterior cervical or axial skeleton fragments</t>
  </si>
  <si>
    <t>Well preserved</t>
  </si>
  <si>
    <t>Relatively complete (skull and partial trunk)</t>
  </si>
  <si>
    <t>Partially complete (skull, vertebrae and limb bones)</t>
  </si>
  <si>
    <t>Relatively complete (skull and trunk skeleton)</t>
  </si>
  <si>
    <t>Fragmentary (vertebrae and limb bone fragments)!!! Compared with Grippia longirostris</t>
  </si>
  <si>
    <t>Jaws and teeth</t>
  </si>
  <si>
    <t>Only several tooth fragments/crowns</t>
  </si>
  <si>
    <t>Nearly complete skeleton. Compared with Grippia longirostris</t>
  </si>
  <si>
    <t>Complete (multiple nearly complete skeletons)</t>
  </si>
  <si>
    <t>Skull and trunk skeleton</t>
  </si>
  <si>
    <t>Partially complete (skull and jaws)</t>
  </si>
  <si>
    <t>Relatively complete (skull, vertebrae and limb bones)</t>
  </si>
  <si>
    <t>Skull and mandible fragments</t>
  </si>
  <si>
    <t>Several limb girdle bone (e.g. humerus, femur) fragments and a few axial skeleton fragments</t>
  </si>
  <si>
    <t>Partially complete (skull and vertebrae)</t>
  </si>
  <si>
    <t>Fragmentary (vertebrae and limb bone fragments)</t>
  </si>
  <si>
    <t>Only vertebral fragments</t>
  </si>
  <si>
    <t>Incomplete (skull, vertebrae and limb bone fragments)</t>
  </si>
  <si>
    <t>Highly fragmentary fossils, mainly including teeth, limb bone fragments and vertebral fragments</t>
  </si>
  <si>
    <t>Relatively complete (trunk skeleton and limb bones)</t>
  </si>
  <si>
    <t>Preserved skull fragment (rostrum missing, dentition not preserved) and a few axial vertebrae</t>
  </si>
  <si>
    <t>Relatively complete (skull and trunk)</t>
  </si>
  <si>
    <t>Strongly crushed skull</t>
  </si>
  <si>
    <t>Axial vertebrae, ribs, partial flipper bones and scattered skull fragments</t>
  </si>
  <si>
    <t>Fragmentary (pectoral girdle and limb bone fragments)</t>
  </si>
  <si>
    <t>Disarticulated skeleton, flipper bones, caudal vertebrae with ventrally curved tail and a few axial vertebrae</t>
  </si>
  <si>
    <t>Nearly complete trunk bones</t>
  </si>
  <si>
    <t>Skull fragments. nomen dubium</t>
  </si>
  <si>
    <t>Fragmentary (palatal bones, teeth and vertebral fragments)</t>
  </si>
  <si>
    <t>Mainly including skull, foreflipper and fragmented bones</t>
  </si>
  <si>
    <t>(plate compression)N.25.48-W.31.25</t>
    <phoneticPr fontId="8" type="noConversion"/>
  </si>
  <si>
    <t>Adjacent to Monte San Giorgio</t>
    <phoneticPr fontId="8" type="noConversion"/>
  </si>
  <si>
    <t>Bavaria, Germany</t>
    <phoneticPr fontId="7" type="noConversion"/>
  </si>
  <si>
    <t>Cruising speed predicted by regression curve(m/s)</t>
    <phoneticPr fontId="8" type="noConversion"/>
  </si>
  <si>
    <t>U-shaped diving linear swimming distance（km）</t>
    <phoneticPr fontId="8" type="noConversion"/>
  </si>
  <si>
    <t>Survival days from a single fat depletion(day)</t>
    <phoneticPr fontId="8" type="noConversion"/>
  </si>
  <si>
    <t>Extended simulated survival days in U-shaped diving（day）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</si>
</sst>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 "/>
    <numFmt numFmtId="177" formatCode="0.000_);[Red]\(0.000\)"/>
    <numFmt numFmtId="178" formatCode="0.00_);[Red]\(0.00\)"/>
    <numFmt numFmtId="179" formatCode="0.00000000000000000_ "/>
    <numFmt numFmtId="180" formatCode="0.000%"/>
    <numFmt numFmtId="181" formatCode="0.00000_ "/>
    <numFmt numFmtId="182" formatCode="0.0_ "/>
    <numFmt numFmtId="183" formatCode="0.00000%"/>
  </numFmts>
  <fonts count="46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9C5700"/>
      <name val="等线"/>
      <family val="2"/>
      <charset val="134"/>
      <scheme val="minor"/>
    </font>
    <font>
      <sz val="20"/>
      <color indexed="8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b/>
      <sz val="20"/>
      <color rgb="FFFA7D00"/>
      <name val="等线"/>
      <family val="2"/>
      <charset val="134"/>
      <scheme val="minor"/>
    </font>
    <font>
      <b/>
      <sz val="26"/>
      <color theme="3"/>
      <name val="等线"/>
      <family val="2"/>
      <charset val="134"/>
      <scheme val="minor"/>
    </font>
    <font>
      <b/>
      <sz val="16"/>
      <color rgb="FF9C57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000000"/>
      <name val="MS Gothic"/>
      <family val="3"/>
      <charset val="128"/>
    </font>
    <font>
      <sz val="11"/>
      <color rgb="FF000000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b/>
      <sz val="11"/>
      <color theme="3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8"/>
      <color rgb="FF3F3F3F"/>
      <name val="等线"/>
      <family val="3"/>
      <charset val="134"/>
      <scheme val="minor"/>
    </font>
    <font>
      <b/>
      <sz val="16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1"/>
      <color theme="3"/>
      <name val="Tahoma"/>
      <family val="3"/>
      <charset val="1"/>
    </font>
    <font>
      <b/>
      <sz val="11"/>
      <color theme="3"/>
      <name val="Calibri"/>
      <family val="3"/>
    </font>
    <font>
      <b/>
      <sz val="11"/>
      <color theme="3"/>
      <name val="等线"/>
      <family val="3"/>
      <charset val="134"/>
    </font>
    <font>
      <b/>
      <sz val="11"/>
      <color theme="3"/>
      <name val="微软雅黑"/>
      <family val="2"/>
      <charset val="134"/>
    </font>
    <font>
      <b/>
      <sz val="11"/>
      <color theme="3"/>
      <name val="Calibri"/>
      <family val="2"/>
    </font>
    <font>
      <b/>
      <sz val="11"/>
      <color theme="3"/>
      <name val="Tahoma"/>
      <family val="2"/>
      <charset val="1"/>
    </font>
    <font>
      <b/>
      <sz val="12"/>
      <color theme="3"/>
      <name val="等线"/>
      <family val="2"/>
      <charset val="134"/>
      <scheme val="minor"/>
    </font>
    <font>
      <sz val="16"/>
      <color rgb="FF3F3F3F"/>
      <name val="等线"/>
      <family val="3"/>
      <charset val="134"/>
      <scheme val="minor"/>
    </font>
    <font>
      <b/>
      <sz val="28"/>
      <color rgb="FF3F3F3F"/>
      <name val="等线"/>
      <family val="3"/>
      <charset val="134"/>
      <scheme val="minor"/>
    </font>
    <font>
      <b/>
      <sz val="10"/>
      <color rgb="FF3F3F3F"/>
      <name val="等线"/>
      <family val="3"/>
      <charset val="134"/>
      <scheme val="minor"/>
    </font>
    <font>
      <b/>
      <sz val="16"/>
      <color rgb="FF3F3F3F"/>
      <name val="等线"/>
      <family val="3"/>
      <charset val="134"/>
      <scheme val="minor"/>
    </font>
    <font>
      <b/>
      <sz val="22"/>
      <color rgb="FF3F3F3F"/>
      <name val="等线"/>
      <family val="3"/>
      <charset val="134"/>
      <scheme val="minor"/>
    </font>
    <font>
      <sz val="11"/>
      <color theme="1"/>
      <name val="Cambria Math"/>
      <family val="2"/>
      <charset val="1"/>
    </font>
    <font>
      <b/>
      <sz val="11"/>
      <color rgb="FF3F3F3F"/>
      <name val="等线"/>
      <family val="1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thin">
        <color rgb="FF3F3F3F"/>
      </diagonal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B2B2B2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/>
      <bottom style="thin">
        <color rgb="FF3F3F3F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thin">
        <color rgb="FF3F3F3F"/>
      </diagonal>
    </border>
  </borders>
  <cellStyleXfs count="11">
    <xf numFmtId="0" fontId="0" fillId="0" borderId="0">
      <alignment vertical="center"/>
    </xf>
    <xf numFmtId="0" fontId="9" fillId="2" borderId="1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2" borderId="2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2" fillId="12" borderId="1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9" fillId="2" borderId="1" xfId="1" applyAlignment="1">
      <alignment horizontal="center" vertical="center"/>
    </xf>
    <xf numFmtId="0" fontId="9" fillId="2" borderId="1" xfId="1" applyAlignment="1">
      <alignment horizontal="center" vertical="center" wrapText="1"/>
    </xf>
    <xf numFmtId="176" fontId="9" fillId="2" borderId="1" xfId="1" applyNumberFormat="1" applyAlignment="1">
      <alignment horizontal="center" vertical="center" wrapText="1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9" fillId="2" borderId="1" xfId="1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2" borderId="2" xfId="4" applyAlignment="1">
      <alignment horizontal="center" vertical="center"/>
    </xf>
    <xf numFmtId="177" fontId="15" fillId="2" borderId="2" xfId="4" applyNumberFormat="1" applyAlignment="1">
      <alignment horizontal="center" vertical="center"/>
    </xf>
    <xf numFmtId="0" fontId="15" fillId="2" borderId="2" xfId="4" applyAlignment="1">
      <alignment horizontal="right" vertical="center"/>
    </xf>
    <xf numFmtId="0" fontId="15" fillId="2" borderId="2" xfId="4" applyAlignment="1">
      <alignment horizontal="center" vertical="center" wrapText="1"/>
    </xf>
    <xf numFmtId="0" fontId="14" fillId="2" borderId="3" xfId="3" applyFill="1" applyAlignment="1">
      <alignment horizontal="center" vertical="center"/>
    </xf>
    <xf numFmtId="0" fontId="14" fillId="0" borderId="3" xfId="3" applyAlignment="1">
      <alignment horizontal="center" vertical="center"/>
    </xf>
    <xf numFmtId="0" fontId="14" fillId="0" borderId="3" xfId="3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4" borderId="2" xfId="5" applyBorder="1" applyAlignment="1">
      <alignment horizontal="center" vertical="center"/>
    </xf>
    <xf numFmtId="0" fontId="6" fillId="4" borderId="2" xfId="5" applyBorder="1" applyAlignment="1">
      <alignment horizontal="center" vertical="center" wrapText="1"/>
    </xf>
    <xf numFmtId="179" fontId="15" fillId="2" borderId="2" xfId="4" applyNumberFormat="1" applyAlignment="1">
      <alignment horizontal="center"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5" fillId="4" borderId="2" xfId="5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80" fontId="6" fillId="4" borderId="2" xfId="5" applyNumberFormat="1" applyBorder="1" applyAlignment="1">
      <alignment horizontal="center" vertical="center"/>
    </xf>
    <xf numFmtId="178" fontId="9" fillId="2" borderId="1" xfId="1" applyNumberFormat="1" applyAlignment="1">
      <alignment horizontal="center" vertical="center"/>
    </xf>
    <xf numFmtId="177" fontId="9" fillId="2" borderId="1" xfId="1" applyNumberFormat="1" applyAlignment="1">
      <alignment horizontal="center" vertical="center" wrapText="1"/>
    </xf>
    <xf numFmtId="178" fontId="9" fillId="2" borderId="1" xfId="1" applyNumberFormat="1" applyAlignment="1">
      <alignment horizontal="center" vertical="center" wrapText="1"/>
    </xf>
    <xf numFmtId="181" fontId="9" fillId="2" borderId="1" xfId="1" applyNumberFormat="1" applyAlignment="1">
      <alignment horizontal="center" vertical="center"/>
    </xf>
    <xf numFmtId="181" fontId="9" fillId="2" borderId="1" xfId="1" applyNumberFormat="1" applyAlignment="1">
      <alignment horizontal="center" vertical="center" wrapText="1"/>
    </xf>
    <xf numFmtId="0" fontId="9" fillId="6" borderId="1" xfId="1" applyFill="1" applyAlignment="1">
      <alignment horizontal="center" vertical="center"/>
    </xf>
    <xf numFmtId="178" fontId="9" fillId="6" borderId="1" xfId="1" applyNumberFormat="1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9" fillId="2" borderId="7" xfId="1" applyBorder="1" applyAlignment="1">
      <alignment vertical="center" wrapText="1"/>
    </xf>
    <xf numFmtId="0" fontId="10" fillId="2" borderId="1" xfId="1" applyFont="1" applyAlignment="1">
      <alignment horizontal="center" vertical="center" wrapText="1"/>
    </xf>
    <xf numFmtId="0" fontId="9" fillId="2" borderId="1" xfId="1">
      <alignment vertical="center"/>
    </xf>
    <xf numFmtId="0" fontId="9" fillId="0" borderId="1" xfId="1" applyFill="1" applyAlignment="1">
      <alignment horizontal="center" vertical="center"/>
    </xf>
    <xf numFmtId="0" fontId="9" fillId="8" borderId="1" xfId="1" applyFill="1" applyAlignment="1">
      <alignment horizontal="center" vertical="center"/>
    </xf>
    <xf numFmtId="0" fontId="9" fillId="9" borderId="1" xfId="1" applyFill="1" applyAlignment="1">
      <alignment horizontal="center" vertical="center"/>
    </xf>
    <xf numFmtId="0" fontId="9" fillId="9" borderId="1" xfId="1" applyFill="1" applyAlignment="1">
      <alignment horizontal="center" vertical="center" wrapText="1"/>
    </xf>
    <xf numFmtId="0" fontId="9" fillId="5" borderId="1" xfId="1" applyFill="1" applyAlignment="1">
      <alignment horizontal="center" vertical="center"/>
    </xf>
    <xf numFmtId="0" fontId="9" fillId="10" borderId="1" xfId="1" applyFill="1" applyAlignment="1">
      <alignment horizontal="center" vertical="center"/>
    </xf>
    <xf numFmtId="0" fontId="6" fillId="4" borderId="2" xfId="5" applyBorder="1" applyAlignment="1">
      <alignment horizontal="right" vertical="center"/>
    </xf>
    <xf numFmtId="0" fontId="6" fillId="4" borderId="2" xfId="5" applyBorder="1" applyAlignment="1">
      <alignment horizontal="left" vertical="center"/>
    </xf>
    <xf numFmtId="0" fontId="9" fillId="6" borderId="1" xfId="1" applyFill="1" applyAlignment="1">
      <alignment horizontal="center" vertical="center" wrapText="1"/>
    </xf>
    <xf numFmtId="0" fontId="9" fillId="6" borderId="1" xfId="1" applyFill="1" applyAlignment="1">
      <alignment horizontal="center" vertical="center"/>
    </xf>
    <xf numFmtId="0" fontId="9" fillId="2" borderId="1" xfId="1" applyAlignment="1">
      <alignment horizontal="center" vertical="top" wrapText="1"/>
    </xf>
    <xf numFmtId="0" fontId="9" fillId="6" borderId="1" xfId="1" applyFill="1" applyAlignment="1">
      <alignment horizontal="center" vertical="top" wrapText="1"/>
    </xf>
    <xf numFmtId="11" fontId="0" fillId="0" borderId="0" xfId="0" applyNumberFormat="1">
      <alignment vertical="center"/>
    </xf>
    <xf numFmtId="176" fontId="3" fillId="13" borderId="13" xfId="8" applyNumberFormat="1" applyBorder="1">
      <alignment vertical="center"/>
    </xf>
    <xf numFmtId="176" fontId="3" fillId="13" borderId="13" xfId="8" applyNumberFormat="1" applyBorder="1" applyAlignment="1">
      <alignment horizontal="right" vertical="center"/>
    </xf>
    <xf numFmtId="176" fontId="3" fillId="14" borderId="13" xfId="9" applyNumberFormat="1" applyBorder="1">
      <alignment vertical="center"/>
    </xf>
    <xf numFmtId="176" fontId="3" fillId="14" borderId="13" xfId="9" applyNumberFormat="1" applyBorder="1" applyAlignment="1">
      <alignment horizontal="right" vertical="center"/>
    </xf>
    <xf numFmtId="176" fontId="3" fillId="14" borderId="13" xfId="9" applyNumberFormat="1" applyBorder="1" applyAlignment="1">
      <alignment horizontal="left" vertical="center"/>
    </xf>
    <xf numFmtId="176" fontId="13" fillId="13" borderId="13" xfId="8" applyNumberFormat="1" applyFont="1" applyBorder="1" applyAlignment="1">
      <alignment horizontal="right" vertical="center"/>
    </xf>
    <xf numFmtId="0" fontId="9" fillId="16" borderId="1" xfId="1" applyFill="1" applyAlignment="1">
      <alignment horizontal="center" vertical="center" wrapText="1"/>
    </xf>
    <xf numFmtId="0" fontId="9" fillId="16" borderId="1" xfId="1" applyFill="1" applyAlignment="1">
      <alignment horizontal="center" vertical="center"/>
    </xf>
    <xf numFmtId="183" fontId="9" fillId="2" borderId="1" xfId="1" applyNumberForma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Continuous" vertical="center"/>
    </xf>
    <xf numFmtId="0" fontId="9" fillId="8" borderId="1" xfId="1" applyFill="1" applyAlignment="1">
      <alignment horizontal="center" vertical="center" wrapText="1"/>
    </xf>
    <xf numFmtId="0" fontId="31" fillId="8" borderId="3" xfId="3" applyFont="1" applyFill="1" applyAlignment="1">
      <alignment vertical="center" wrapText="1"/>
    </xf>
    <xf numFmtId="0" fontId="23" fillId="7" borderId="12" xfId="6" applyFill="1" applyAlignment="1">
      <alignment horizontal="left" vertical="center"/>
    </xf>
    <xf numFmtId="0" fontId="23" fillId="11" borderId="12" xfId="6" applyFill="1" applyAlignment="1">
      <alignment horizontal="left" vertical="center"/>
    </xf>
    <xf numFmtId="0" fontId="23" fillId="8" borderId="12" xfId="6" applyFill="1" applyAlignment="1">
      <alignment horizontal="left" vertical="center"/>
    </xf>
    <xf numFmtId="49" fontId="23" fillId="11" borderId="12" xfId="6" applyNumberFormat="1" applyFill="1" applyAlignment="1">
      <alignment horizontal="center" vertical="center"/>
    </xf>
    <xf numFmtId="0" fontId="23" fillId="9" borderId="12" xfId="6" applyFill="1" applyAlignment="1">
      <alignment horizontal="left" vertical="center"/>
    </xf>
    <xf numFmtId="49" fontId="23" fillId="9" borderId="12" xfId="6" applyNumberFormat="1" applyFill="1" applyAlignment="1">
      <alignment horizontal="center" vertical="center"/>
    </xf>
    <xf numFmtId="49" fontId="23" fillId="17" borderId="12" xfId="6" applyNumberFormat="1" applyFill="1" applyAlignment="1">
      <alignment horizontal="center" vertical="center"/>
    </xf>
    <xf numFmtId="0" fontId="23" fillId="19" borderId="12" xfId="6" applyFill="1" applyAlignment="1">
      <alignment horizontal="left" vertical="center"/>
    </xf>
    <xf numFmtId="49" fontId="23" fillId="19" borderId="12" xfId="6" applyNumberFormat="1" applyFill="1" applyAlignment="1">
      <alignment horizontal="center" vertical="center"/>
    </xf>
    <xf numFmtId="0" fontId="23" fillId="8" borderId="12" xfId="6" applyFill="1" applyAlignment="1">
      <alignment horizontal="left" vertical="center" wrapText="1"/>
    </xf>
    <xf numFmtId="10" fontId="9" fillId="6" borderId="1" xfId="1" applyNumberFormat="1" applyFill="1" applyAlignment="1">
      <alignment horizontal="center" vertical="center"/>
    </xf>
    <xf numFmtId="176" fontId="3" fillId="13" borderId="17" xfId="8" applyNumberFormat="1" applyBorder="1" applyAlignment="1">
      <alignment horizontal="left" vertical="center"/>
    </xf>
    <xf numFmtId="176" fontId="9" fillId="2" borderId="24" xfId="1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6" fillId="4" borderId="4" xfId="5" applyBorder="1" applyAlignment="1">
      <alignment horizontal="center" vertical="center"/>
    </xf>
    <xf numFmtId="0" fontId="23" fillId="7" borderId="12" xfId="6" applyFill="1" applyAlignment="1">
      <alignment horizontal="left" vertical="center" wrapText="1"/>
    </xf>
    <xf numFmtId="0" fontId="23" fillId="21" borderId="12" xfId="6" applyFill="1" applyAlignment="1">
      <alignment horizontal="left" vertical="center" wrapText="1"/>
    </xf>
    <xf numFmtId="0" fontId="23" fillId="22" borderId="12" xfId="6" applyFill="1" applyAlignment="1">
      <alignment horizontal="left" vertical="center" wrapText="1"/>
    </xf>
    <xf numFmtId="0" fontId="23" fillId="22" borderId="12" xfId="6" applyFill="1" applyAlignment="1">
      <alignment horizontal="left" vertical="center"/>
    </xf>
    <xf numFmtId="0" fontId="23" fillId="23" borderId="12" xfId="6" applyFill="1" applyAlignment="1">
      <alignment horizontal="left" vertical="center" wrapText="1"/>
    </xf>
    <xf numFmtId="0" fontId="23" fillId="23" borderId="12" xfId="6" applyFill="1" applyAlignment="1">
      <alignment horizontal="left" vertical="center"/>
    </xf>
    <xf numFmtId="0" fontId="39" fillId="7" borderId="25" xfId="1" applyFont="1" applyFill="1" applyBorder="1" applyAlignment="1">
      <alignment horizontal="center" vertical="center" wrapText="1"/>
    </xf>
    <xf numFmtId="0" fontId="41" fillId="7" borderId="1" xfId="1" applyFont="1" applyFill="1" applyAlignment="1">
      <alignment horizontal="center" vertical="center" wrapText="1"/>
    </xf>
    <xf numFmtId="0" fontId="39" fillId="24" borderId="25" xfId="1" applyFont="1" applyFill="1" applyBorder="1" applyAlignment="1">
      <alignment horizontal="center" vertical="center" wrapText="1"/>
    </xf>
    <xf numFmtId="0" fontId="41" fillId="24" borderId="1" xfId="1" applyFont="1" applyFill="1" applyAlignment="1">
      <alignment horizontal="center" vertical="center" wrapText="1"/>
    </xf>
    <xf numFmtId="0" fontId="39" fillId="25" borderId="25" xfId="1" applyFont="1" applyFill="1" applyBorder="1" applyAlignment="1">
      <alignment horizontal="center" vertical="center" wrapText="1"/>
    </xf>
    <xf numFmtId="0" fontId="41" fillId="25" borderId="1" xfId="1" applyFont="1" applyFill="1" applyAlignment="1">
      <alignment horizontal="center" vertical="center" wrapText="1"/>
    </xf>
    <xf numFmtId="0" fontId="42" fillId="2" borderId="1" xfId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8" borderId="3" xfId="3" applyFont="1" applyFill="1" applyAlignment="1">
      <alignment vertical="center"/>
    </xf>
    <xf numFmtId="0" fontId="31" fillId="19" borderId="3" xfId="3" applyFont="1" applyFill="1" applyAlignment="1">
      <alignment vertical="center"/>
    </xf>
    <xf numFmtId="49" fontId="31" fillId="0" borderId="3" xfId="3" applyNumberFormat="1" applyFont="1" applyAlignment="1">
      <alignment horizontal="center" vertical="center"/>
    </xf>
    <xf numFmtId="49" fontId="31" fillId="9" borderId="3" xfId="3" applyNumberFormat="1" applyFont="1" applyFill="1" applyAlignment="1">
      <alignment horizontal="center" vertical="center"/>
    </xf>
    <xf numFmtId="49" fontId="31" fillId="19" borderId="3" xfId="3" applyNumberFormat="1" applyFont="1" applyFill="1" applyAlignment="1">
      <alignment horizontal="center" vertical="center"/>
    </xf>
    <xf numFmtId="0" fontId="31" fillId="0" borderId="3" xfId="3" applyFont="1" applyAlignment="1">
      <alignment vertical="top" wrapText="1"/>
    </xf>
    <xf numFmtId="0" fontId="31" fillId="19" borderId="3" xfId="3" applyFont="1" applyFill="1" applyAlignment="1">
      <alignment vertical="top" wrapText="1"/>
    </xf>
    <xf numFmtId="0" fontId="31" fillId="0" borderId="3" xfId="3" applyFont="1" applyFill="1" applyAlignment="1">
      <alignment vertical="center" wrapText="1"/>
    </xf>
    <xf numFmtId="0" fontId="23" fillId="11" borderId="12" xfId="6" applyFill="1" applyAlignment="1">
      <alignment vertical="top" wrapText="1"/>
    </xf>
    <xf numFmtId="0" fontId="23" fillId="9" borderId="12" xfId="6" applyFill="1" applyAlignment="1">
      <alignment vertical="top" wrapText="1"/>
    </xf>
    <xf numFmtId="0" fontId="23" fillId="17" borderId="12" xfId="6" applyFill="1" applyAlignment="1">
      <alignment vertical="top" wrapText="1"/>
    </xf>
    <xf numFmtId="0" fontId="23" fillId="19" borderId="12" xfId="6" applyFill="1" applyAlignment="1">
      <alignment vertical="top" wrapText="1"/>
    </xf>
    <xf numFmtId="0" fontId="30" fillId="26" borderId="12" xfId="6" applyFont="1" applyFill="1" applyAlignment="1">
      <alignment horizontal="center" vertical="center"/>
    </xf>
    <xf numFmtId="0" fontId="10" fillId="2" borderId="1" xfId="1" applyFont="1" applyAlignment="1">
      <alignment horizontal="center" vertical="top" wrapText="1"/>
    </xf>
    <xf numFmtId="176" fontId="3" fillId="13" borderId="17" xfId="8" applyNumberFormat="1" applyBorder="1" applyAlignment="1">
      <alignment vertical="top" wrapText="1"/>
    </xf>
    <xf numFmtId="0" fontId="9" fillId="2" borderId="1" xfId="1" applyAlignment="1">
      <alignment vertical="top" wrapText="1"/>
    </xf>
    <xf numFmtId="176" fontId="9" fillId="2" borderId="1" xfId="1" applyNumberFormat="1" applyAlignment="1">
      <alignment vertical="top" wrapText="1"/>
    </xf>
    <xf numFmtId="0" fontId="9" fillId="6" borderId="1" xfId="1" applyFill="1" applyAlignment="1">
      <alignment vertical="top" wrapText="1"/>
    </xf>
    <xf numFmtId="0" fontId="0" fillId="0" borderId="0" xfId="0" applyAlignment="1">
      <alignment vertical="top" wrapText="1"/>
    </xf>
    <xf numFmtId="0" fontId="6" fillId="4" borderId="2" xfId="5" applyBorder="1" applyAlignment="1">
      <alignment horizontal="center" vertical="center" wrapText="1"/>
    </xf>
    <xf numFmtId="0" fontId="6" fillId="4" borderId="2" xfId="5" applyBorder="1" applyAlignment="1">
      <alignment horizontal="center" vertical="center"/>
    </xf>
    <xf numFmtId="0" fontId="15" fillId="2" borderId="2" xfId="4" applyAlignment="1">
      <alignment horizontal="center" vertical="center" wrapText="1"/>
    </xf>
    <xf numFmtId="0" fontId="15" fillId="2" borderId="2" xfId="4" applyAlignment="1">
      <alignment horizontal="center" vertical="center"/>
    </xf>
    <xf numFmtId="0" fontId="2" fillId="4" borderId="2" xfId="5" applyFont="1" applyBorder="1" applyAlignment="1">
      <alignment horizontal="center" vertical="center"/>
    </xf>
    <xf numFmtId="0" fontId="2" fillId="4" borderId="2" xfId="5" applyFont="1" applyBorder="1" applyAlignment="1">
      <alignment horizontal="center" vertical="center" wrapText="1"/>
    </xf>
    <xf numFmtId="180" fontId="15" fillId="2" borderId="2" xfId="4" applyNumberFormat="1" applyAlignment="1">
      <alignment horizontal="center" vertical="center"/>
    </xf>
    <xf numFmtId="0" fontId="45" fillId="2" borderId="1" xfId="1" applyFont="1" applyAlignment="1">
      <alignment horizontal="center" vertical="center"/>
    </xf>
    <xf numFmtId="0" fontId="43" fillId="2" borderId="29" xfId="1" applyFont="1" applyBorder="1" applyAlignment="1">
      <alignment horizontal="center" vertical="center" wrapText="1"/>
    </xf>
    <xf numFmtId="0" fontId="39" fillId="25" borderId="1" xfId="1" applyFont="1" applyFill="1" applyAlignment="1">
      <alignment horizontal="center" vertical="center" wrapText="1"/>
    </xf>
    <xf numFmtId="176" fontId="2" fillId="14" borderId="13" xfId="9" applyNumberFormat="1" applyFont="1" applyBorder="1" applyAlignment="1">
      <alignment horizontal="center" vertical="center"/>
    </xf>
    <xf numFmtId="0" fontId="30" fillId="26" borderId="12" xfId="6" applyFont="1" applyFill="1" applyAlignment="1">
      <alignment horizontal="center" vertical="center" wrapText="1"/>
    </xf>
    <xf numFmtId="0" fontId="23" fillId="11" borderId="12" xfId="6" applyFill="1" applyAlignment="1">
      <alignment horizontal="center" vertical="center" wrapText="1"/>
    </xf>
    <xf numFmtId="0" fontId="23" fillId="9" borderId="12" xfId="6" applyFill="1" applyAlignment="1">
      <alignment horizontal="center" vertical="center" wrapText="1"/>
    </xf>
    <xf numFmtId="0" fontId="23" fillId="17" borderId="12" xfId="6" applyFill="1" applyAlignment="1">
      <alignment horizontal="center" vertical="center" wrapText="1"/>
    </xf>
    <xf numFmtId="0" fontId="23" fillId="19" borderId="12" xfId="6" applyFill="1" applyAlignment="1">
      <alignment horizontal="center" vertical="center" wrapText="1"/>
    </xf>
    <xf numFmtId="0" fontId="30" fillId="26" borderId="12" xfId="6" applyFont="1" applyFill="1" applyAlignment="1">
      <alignment horizontal="center" vertical="top"/>
    </xf>
    <xf numFmtId="0" fontId="23" fillId="7" borderId="3" xfId="3" applyFont="1" applyFill="1" applyAlignment="1">
      <alignment vertical="top" wrapText="1"/>
    </xf>
    <xf numFmtId="0" fontId="23" fillId="18" borderId="3" xfId="3" applyFont="1" applyFill="1" applyAlignment="1">
      <alignment vertical="top" wrapText="1"/>
    </xf>
    <xf numFmtId="0" fontId="23" fillId="0" borderId="3" xfId="3" applyFont="1" applyFill="1" applyAlignment="1">
      <alignment vertical="top" wrapText="1"/>
    </xf>
    <xf numFmtId="0" fontId="23" fillId="9" borderId="3" xfId="3" applyFont="1" applyFill="1" applyAlignment="1">
      <alignment vertical="top" wrapText="1"/>
    </xf>
    <xf numFmtId="0" fontId="38" fillId="18" borderId="3" xfId="3" applyFont="1" applyFill="1" applyAlignment="1">
      <alignment vertical="top" wrapText="1"/>
    </xf>
    <xf numFmtId="0" fontId="23" fillId="19" borderId="3" xfId="3" applyFont="1" applyFill="1" applyAlignment="1">
      <alignment vertical="top" wrapText="1"/>
    </xf>
    <xf numFmtId="0" fontId="23" fillId="20" borderId="3" xfId="3" applyFont="1" applyFill="1" applyAlignment="1">
      <alignment vertical="top" wrapText="1"/>
    </xf>
    <xf numFmtId="0" fontId="0" fillId="0" borderId="0" xfId="0" applyAlignment="1">
      <alignment vertical="top"/>
    </xf>
    <xf numFmtId="0" fontId="31" fillId="0" borderId="3" xfId="3" applyFont="1" applyFill="1" applyAlignment="1">
      <alignment horizontal="center" vertical="center"/>
    </xf>
    <xf numFmtId="0" fontId="31" fillId="0" borderId="3" xfId="3" applyFont="1" applyAlignment="1">
      <alignment horizontal="center" vertical="center" wrapText="1"/>
    </xf>
    <xf numFmtId="0" fontId="31" fillId="19" borderId="3" xfId="3" applyFont="1" applyFill="1" applyAlignment="1">
      <alignment horizontal="center" vertical="center" wrapText="1"/>
    </xf>
    <xf numFmtId="0" fontId="9" fillId="10" borderId="1" xfId="1" applyFill="1" applyAlignment="1">
      <alignment horizontal="center" vertical="center" wrapText="1"/>
    </xf>
    <xf numFmtId="182" fontId="0" fillId="0" borderId="0" xfId="0" applyNumberFormat="1" applyFill="1" applyAlignment="1">
      <alignment horizontal="center" vertical="center"/>
    </xf>
    <xf numFmtId="0" fontId="9" fillId="7" borderId="8" xfId="1" applyFill="1" applyBorder="1" applyAlignment="1">
      <alignment horizontal="center" vertical="center" wrapText="1"/>
    </xf>
    <xf numFmtId="0" fontId="9" fillId="7" borderId="9" xfId="1" applyFill="1" applyBorder="1" applyAlignment="1">
      <alignment horizontal="center" vertical="center" wrapText="1"/>
    </xf>
    <xf numFmtId="0" fontId="9" fillId="7" borderId="10" xfId="1" applyFill="1" applyBorder="1" applyAlignment="1">
      <alignment horizontal="center" vertical="center"/>
    </xf>
    <xf numFmtId="0" fontId="9" fillId="7" borderId="0" xfId="1" applyFill="1" applyBorder="1" applyAlignment="1">
      <alignment horizontal="center" vertical="center"/>
    </xf>
    <xf numFmtId="0" fontId="40" fillId="2" borderId="25" xfId="1" applyFont="1" applyBorder="1" applyAlignment="1">
      <alignment horizontal="center" vertical="center" wrapText="1"/>
    </xf>
    <xf numFmtId="0" fontId="40" fillId="2" borderId="24" xfId="1" applyFont="1" applyBorder="1" applyAlignment="1">
      <alignment horizontal="center" vertical="center" wrapText="1"/>
    </xf>
    <xf numFmtId="0" fontId="40" fillId="2" borderId="26" xfId="1" applyFont="1" applyBorder="1" applyAlignment="1">
      <alignment horizontal="center" vertical="center" wrapText="1"/>
    </xf>
    <xf numFmtId="0" fontId="25" fillId="15" borderId="0" xfId="10" applyFont="1" applyBorder="1" applyAlignment="1">
      <alignment horizontal="center" vertical="center"/>
    </xf>
    <xf numFmtId="0" fontId="29" fillId="12" borderId="21" xfId="7" applyFont="1" applyBorder="1" applyAlignment="1">
      <alignment horizontal="center" vertical="center"/>
    </xf>
    <xf numFmtId="0" fontId="29" fillId="12" borderId="20" xfId="7" applyFont="1" applyBorder="1" applyAlignment="1">
      <alignment horizontal="center" vertical="center"/>
    </xf>
    <xf numFmtId="176" fontId="13" fillId="13" borderId="17" xfId="8" applyNumberFormat="1" applyFont="1" applyBorder="1" applyAlignment="1">
      <alignment horizontal="center" vertical="center"/>
    </xf>
    <xf numFmtId="176" fontId="3" fillId="13" borderId="19" xfId="8" applyNumberFormat="1" applyBorder="1" applyAlignment="1">
      <alignment horizontal="center" vertical="center"/>
    </xf>
    <xf numFmtId="0" fontId="2" fillId="4" borderId="2" xfId="5" applyFont="1" applyBorder="1" applyAlignment="1">
      <alignment horizontal="center" vertical="center"/>
    </xf>
    <xf numFmtId="0" fontId="6" fillId="4" borderId="2" xfId="5" applyBorder="1" applyAlignment="1">
      <alignment horizontal="center" vertical="center"/>
    </xf>
    <xf numFmtId="0" fontId="2" fillId="4" borderId="2" xfId="5" applyFont="1" applyBorder="1" applyAlignment="1">
      <alignment horizontal="center" vertical="center" wrapText="1"/>
    </xf>
    <xf numFmtId="0" fontId="6" fillId="4" borderId="2" xfId="5" applyBorder="1" applyAlignment="1">
      <alignment horizontal="center" vertical="center" wrapText="1"/>
    </xf>
    <xf numFmtId="0" fontId="2" fillId="4" borderId="2" xfId="5" applyFont="1" applyBorder="1" applyAlignment="1">
      <alignment horizontal="center" vertical="top" wrapText="1"/>
    </xf>
    <xf numFmtId="0" fontId="6" fillId="4" borderId="2" xfId="5" applyBorder="1" applyAlignment="1">
      <alignment horizontal="center" vertical="top"/>
    </xf>
    <xf numFmtId="177" fontId="24" fillId="13" borderId="15" xfId="8" applyNumberFormat="1" applyFont="1" applyBorder="1" applyAlignment="1">
      <alignment horizontal="center" vertical="center"/>
    </xf>
    <xf numFmtId="177" fontId="24" fillId="13" borderId="16" xfId="8" applyNumberFormat="1" applyFont="1" applyBorder="1" applyAlignment="1">
      <alignment horizontal="center" vertical="center"/>
    </xf>
    <xf numFmtId="176" fontId="3" fillId="13" borderId="17" xfId="8" applyNumberFormat="1" applyBorder="1" applyAlignment="1">
      <alignment horizontal="left" vertical="center"/>
    </xf>
    <xf numFmtId="176" fontId="3" fillId="13" borderId="18" xfId="8" applyNumberFormat="1" applyBorder="1" applyAlignment="1">
      <alignment horizontal="left" vertical="center"/>
    </xf>
    <xf numFmtId="176" fontId="3" fillId="13" borderId="19" xfId="8" applyNumberFormat="1" applyBorder="1" applyAlignment="1">
      <alignment horizontal="left" vertical="center"/>
    </xf>
    <xf numFmtId="176" fontId="2" fillId="13" borderId="17" xfId="8" applyNumberFormat="1" applyFont="1" applyBorder="1" applyAlignment="1">
      <alignment horizontal="left" vertical="center"/>
    </xf>
    <xf numFmtId="0" fontId="9" fillId="2" borderId="1" xfId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7" fillId="0" borderId="0" xfId="3" applyFont="1" applyBorder="1" applyAlignment="1">
      <alignment horizontal="center" vertical="center"/>
    </xf>
    <xf numFmtId="0" fontId="18" fillId="3" borderId="0" xfId="2" applyFont="1" applyBorder="1" applyAlignment="1">
      <alignment horizontal="center" vertical="center"/>
    </xf>
    <xf numFmtId="0" fontId="18" fillId="3" borderId="27" xfId="2" applyFont="1" applyBorder="1" applyAlignment="1">
      <alignment horizontal="center" vertical="center"/>
    </xf>
    <xf numFmtId="0" fontId="15" fillId="2" borderId="2" xfId="4" applyAlignment="1">
      <alignment horizontal="center" vertical="center"/>
    </xf>
    <xf numFmtId="0" fontId="6" fillId="4" borderId="4" xfId="5" applyBorder="1" applyAlignment="1">
      <alignment horizontal="center" vertical="center"/>
    </xf>
    <xf numFmtId="0" fontId="6" fillId="4" borderId="6" xfId="5" applyBorder="1" applyAlignment="1">
      <alignment horizontal="center" vertical="center"/>
    </xf>
    <xf numFmtId="0" fontId="16" fillId="2" borderId="11" xfId="4" applyFont="1" applyBorder="1" applyAlignment="1">
      <alignment horizontal="center" vertical="center"/>
    </xf>
    <xf numFmtId="0" fontId="16" fillId="2" borderId="0" xfId="4" applyFont="1" applyBorder="1" applyAlignment="1">
      <alignment horizontal="center" vertical="center"/>
    </xf>
    <xf numFmtId="177" fontId="15" fillId="2" borderId="2" xfId="4" applyNumberFormat="1" applyAlignment="1">
      <alignment horizontal="center" vertical="center"/>
    </xf>
    <xf numFmtId="10" fontId="6" fillId="4" borderId="2" xfId="5" applyNumberFormat="1" applyBorder="1" applyAlignment="1">
      <alignment horizontal="center" vertical="center"/>
    </xf>
    <xf numFmtId="0" fontId="2" fillId="4" borderId="4" xfId="5" applyFont="1" applyBorder="1" applyAlignment="1">
      <alignment horizontal="center" vertical="center"/>
    </xf>
    <xf numFmtId="0" fontId="4" fillId="4" borderId="5" xfId="5" applyFont="1" applyBorder="1" applyAlignment="1">
      <alignment horizontal="center" vertical="center"/>
    </xf>
    <xf numFmtId="0" fontId="4" fillId="4" borderId="6" xfId="5" applyFont="1" applyBorder="1" applyAlignment="1">
      <alignment horizontal="center" vertical="center"/>
    </xf>
    <xf numFmtId="0" fontId="4" fillId="4" borderId="4" xfId="5" applyFont="1" applyBorder="1" applyAlignment="1">
      <alignment horizontal="center" vertical="center" wrapText="1"/>
    </xf>
    <xf numFmtId="0" fontId="4" fillId="4" borderId="5" xfId="5" applyFont="1" applyBorder="1" applyAlignment="1">
      <alignment horizontal="center" vertical="center" wrapText="1"/>
    </xf>
    <xf numFmtId="0" fontId="4" fillId="4" borderId="6" xfId="5" applyFont="1" applyBorder="1" applyAlignment="1">
      <alignment horizontal="center" vertical="center" wrapText="1"/>
    </xf>
    <xf numFmtId="176" fontId="15" fillId="2" borderId="4" xfId="4" applyNumberFormat="1" applyBorder="1" applyAlignment="1">
      <alignment horizontal="center" vertical="center"/>
    </xf>
    <xf numFmtId="176" fontId="15" fillId="2" borderId="5" xfId="4" applyNumberFormat="1" applyBorder="1" applyAlignment="1">
      <alignment horizontal="center" vertical="center"/>
    </xf>
    <xf numFmtId="176" fontId="15" fillId="2" borderId="6" xfId="4" applyNumberFormat="1" applyBorder="1" applyAlignment="1">
      <alignment horizontal="center" vertical="center"/>
    </xf>
    <xf numFmtId="0" fontId="15" fillId="2" borderId="2" xfId="4" applyAlignment="1">
      <alignment horizontal="center" vertical="center" wrapText="1"/>
    </xf>
  </cellXfs>
  <cellStyles count="11">
    <cellStyle name="20% - 着色 1" xfId="5" builtinId="30"/>
    <cellStyle name="20% - 着色 4" xfId="8" builtinId="42"/>
    <cellStyle name="20% - 着色 6" xfId="10" builtinId="50"/>
    <cellStyle name="40% - 着色 4" xfId="9" builtinId="43"/>
    <cellStyle name="标题 2" xfId="3" builtinId="17"/>
    <cellStyle name="标题 3" xfId="6" builtinId="18"/>
    <cellStyle name="常规" xfId="0" builtinId="0"/>
    <cellStyle name="计算" xfId="4" builtinId="22"/>
    <cellStyle name="适中" xfId="2" builtinId="28"/>
    <cellStyle name="输出" xfId="1" builtinId="21"/>
    <cellStyle name="注释" xfId="7" builtinId="10"/>
  </cellStyles>
  <dxfs count="0"/>
  <tableStyles count="0" defaultTableStyle="TableStyleMedium2" defaultPivotStyle="PivotStyleLight16"/>
  <colors>
    <mruColors>
      <color rgb="FFFFABAB"/>
      <color rgb="FFFE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5.94636094521425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'Statistical speeds '!$K$9:$K$64</c:f>
              <c:numCache>
                <c:formatCode>0.00000_ </c:formatCode>
                <c:ptCount val="56"/>
                <c:pt idx="0">
                  <c:v>8.8474907214908249</c:v>
                </c:pt>
                <c:pt idx="1">
                  <c:v>13.062677323779347</c:v>
                </c:pt>
                <c:pt idx="2">
                  <c:v>25.46993650163051</c:v>
                </c:pt>
                <c:pt idx="3">
                  <c:v>2.8888158424046217</c:v>
                </c:pt>
                <c:pt idx="4">
                  <c:v>1.7916852510748404</c:v>
                </c:pt>
                <c:pt idx="5">
                  <c:v>11.072127827283364</c:v>
                </c:pt>
                <c:pt idx="6">
                  <c:v>1.1299572732028955</c:v>
                </c:pt>
                <c:pt idx="7">
                  <c:v>3.1749925845431681</c:v>
                </c:pt>
                <c:pt idx="8">
                  <c:v>4.3737766496146788</c:v>
                </c:pt>
                <c:pt idx="9">
                  <c:v>4.6828018146619179</c:v>
                </c:pt>
                <c:pt idx="10">
                  <c:v>2.4649116539585414</c:v>
                </c:pt>
                <c:pt idx="11">
                  <c:v>7.5485972315941652</c:v>
                </c:pt>
                <c:pt idx="12">
                  <c:v>7.9488043296243225</c:v>
                </c:pt>
                <c:pt idx="13">
                  <c:v>10.239278055352104</c:v>
                </c:pt>
                <c:pt idx="14">
                  <c:v>1.3498168846294682</c:v>
                </c:pt>
                <c:pt idx="15">
                  <c:v>3.2355227164896347</c:v>
                </c:pt>
                <c:pt idx="16">
                  <c:v>34.200834958476143</c:v>
                </c:pt>
                <c:pt idx="17">
                  <c:v>6.8264241175949145</c:v>
                </c:pt>
                <c:pt idx="18">
                  <c:v>16.740172576134722</c:v>
                </c:pt>
                <c:pt idx="19">
                  <c:v>2.3691269879947177</c:v>
                </c:pt>
                <c:pt idx="20">
                  <c:v>1.2562566076514516</c:v>
                </c:pt>
                <c:pt idx="21">
                  <c:v>2.0499397935319097</c:v>
                </c:pt>
                <c:pt idx="22">
                  <c:v>1.7651407065127414</c:v>
                </c:pt>
                <c:pt idx="23">
                  <c:v>2.6208603301995326</c:v>
                </c:pt>
                <c:pt idx="24">
                  <c:v>1.7508157039855281</c:v>
                </c:pt>
                <c:pt idx="25">
                  <c:v>0.29328380945050109</c:v>
                </c:pt>
                <c:pt idx="26">
                  <c:v>0.11323657334880041</c:v>
                </c:pt>
                <c:pt idx="27">
                  <c:v>0.96287533094698718</c:v>
                </c:pt>
                <c:pt idx="28">
                  <c:v>1.0071870487338306</c:v>
                </c:pt>
                <c:pt idx="29">
                  <c:v>4.1660813089583115</c:v>
                </c:pt>
                <c:pt idx="30">
                  <c:v>6.9284338280979467</c:v>
                </c:pt>
                <c:pt idx="31">
                  <c:v>1.7369411294825325</c:v>
                </c:pt>
                <c:pt idx="32">
                  <c:v>0.99054784821957542</c:v>
                </c:pt>
                <c:pt idx="33">
                  <c:v>0.98071597677834943</c:v>
                </c:pt>
                <c:pt idx="34">
                  <c:v>7.3785199278479627</c:v>
                </c:pt>
                <c:pt idx="35">
                  <c:v>1.046946771724933</c:v>
                </c:pt>
                <c:pt idx="36">
                  <c:v>1.0943151715151616</c:v>
                </c:pt>
                <c:pt idx="37">
                  <c:v>2.1939501718996355</c:v>
                </c:pt>
                <c:pt idx="38">
                  <c:v>2.4986181006499701</c:v>
                </c:pt>
                <c:pt idx="39">
                  <c:v>0.76679568438231871</c:v>
                </c:pt>
                <c:pt idx="40">
                  <c:v>0.60312847125925118</c:v>
                </c:pt>
                <c:pt idx="41">
                  <c:v>1.848469829725315</c:v>
                </c:pt>
                <c:pt idx="42">
                  <c:v>9.1776204814456523</c:v>
                </c:pt>
                <c:pt idx="43">
                  <c:v>13.699784462763525</c:v>
                </c:pt>
                <c:pt idx="44">
                  <c:v>3.7106940878238377</c:v>
                </c:pt>
                <c:pt idx="45">
                  <c:v>3.3933009024799539</c:v>
                </c:pt>
                <c:pt idx="46">
                  <c:v>10.881960989589398</c:v>
                </c:pt>
                <c:pt idx="47">
                  <c:v>4.3344850842570182</c:v>
                </c:pt>
                <c:pt idx="48">
                  <c:v>28.933479726728017</c:v>
                </c:pt>
                <c:pt idx="49">
                  <c:v>110.6075222336716</c:v>
                </c:pt>
                <c:pt idx="50">
                  <c:v>144.27673484646078</c:v>
                </c:pt>
                <c:pt idx="51">
                  <c:v>66.86203099533725</c:v>
                </c:pt>
                <c:pt idx="52">
                  <c:v>56.123960314866174</c:v>
                </c:pt>
                <c:pt idx="53">
                  <c:v>29.125384959515657</c:v>
                </c:pt>
                <c:pt idx="54">
                  <c:v>12.437705682697676</c:v>
                </c:pt>
                <c:pt idx="55">
                  <c:v>66.86203099533725</c:v>
                </c:pt>
              </c:numCache>
            </c:numRef>
          </c:xVal>
          <c:yVal>
            <c:numRef>
              <c:f>'Statistical distribution inform'!$C$25:$C$80</c:f>
              <c:numCache>
                <c:formatCode>General</c:formatCode>
                <c:ptCount val="56"/>
                <c:pt idx="0">
                  <c:v>0.1238789400172948</c:v>
                </c:pt>
                <c:pt idx="1">
                  <c:v>0.76091295506308976</c:v>
                </c:pt>
                <c:pt idx="2">
                  <c:v>0.22783606135310608</c:v>
                </c:pt>
                <c:pt idx="3">
                  <c:v>0.26943378392714312</c:v>
                </c:pt>
                <c:pt idx="4">
                  <c:v>0.28623381500959338</c:v>
                </c:pt>
                <c:pt idx="5">
                  <c:v>0.41953687349069352</c:v>
                </c:pt>
                <c:pt idx="6">
                  <c:v>0.43239809892915859</c:v>
                </c:pt>
                <c:pt idx="7">
                  <c:v>0.44244323453858625</c:v>
                </c:pt>
                <c:pt idx="8">
                  <c:v>0.48316007494122015</c:v>
                </c:pt>
                <c:pt idx="9">
                  <c:v>0.51561139833519531</c:v>
                </c:pt>
                <c:pt idx="10">
                  <c:v>0.35978865463817311</c:v>
                </c:pt>
                <c:pt idx="11">
                  <c:v>0.5256075110526085</c:v>
                </c:pt>
                <c:pt idx="12">
                  <c:v>0.24583149828677595</c:v>
                </c:pt>
                <c:pt idx="13">
                  <c:v>0.84988121531395455</c:v>
                </c:pt>
                <c:pt idx="14">
                  <c:v>0.38702750360844485</c:v>
                </c:pt>
                <c:pt idx="15">
                  <c:v>0.28096464171617308</c:v>
                </c:pt>
                <c:pt idx="16">
                  <c:v>0.26456304547851128</c:v>
                </c:pt>
                <c:pt idx="17">
                  <c:v>0.7332483115690096</c:v>
                </c:pt>
                <c:pt idx="18">
                  <c:v>0.53108136359390001</c:v>
                </c:pt>
                <c:pt idx="19">
                  <c:v>0.6521284235274365</c:v>
                </c:pt>
                <c:pt idx="20">
                  <c:v>0.18931293649210404</c:v>
                </c:pt>
                <c:pt idx="21">
                  <c:v>0.69992533193590156</c:v>
                </c:pt>
                <c:pt idx="22">
                  <c:v>0.62688222881279565</c:v>
                </c:pt>
                <c:pt idx="23">
                  <c:v>0.57597923632138015</c:v>
                </c:pt>
                <c:pt idx="24">
                  <c:v>0.6472321511611645</c:v>
                </c:pt>
                <c:pt idx="25">
                  <c:v>0.1328358435437243</c:v>
                </c:pt>
                <c:pt idx="26">
                  <c:v>8.7233926654310359E-2</c:v>
                </c:pt>
                <c:pt idx="27">
                  <c:v>5.6479473818493484E-2</c:v>
                </c:pt>
                <c:pt idx="28">
                  <c:v>0.26539705443889638</c:v>
                </c:pt>
                <c:pt idx="29">
                  <c:v>0.53823352893954879</c:v>
                </c:pt>
                <c:pt idx="30">
                  <c:v>0.33075648112166112</c:v>
                </c:pt>
                <c:pt idx="31">
                  <c:v>0.26757107073088082</c:v>
                </c:pt>
                <c:pt idx="32">
                  <c:v>0.21580350659189729</c:v>
                </c:pt>
                <c:pt idx="33">
                  <c:v>0.11604367349846779</c:v>
                </c:pt>
                <c:pt idx="34">
                  <c:v>0.41976205478955142</c:v>
                </c:pt>
                <c:pt idx="35">
                  <c:v>0.54442582838758402</c:v>
                </c:pt>
                <c:pt idx="36">
                  <c:v>9.3268742260612283E-2</c:v>
                </c:pt>
                <c:pt idx="37">
                  <c:v>8.6407535014595582E-2</c:v>
                </c:pt>
                <c:pt idx="38">
                  <c:v>0.46896529429606987</c:v>
                </c:pt>
                <c:pt idx="39">
                  <c:v>8.1269186788031328E-2</c:v>
                </c:pt>
                <c:pt idx="40">
                  <c:v>4.526714877499935E-2</c:v>
                </c:pt>
                <c:pt idx="41">
                  <c:v>0.15484671625866708</c:v>
                </c:pt>
                <c:pt idx="42">
                  <c:v>0.86581473335133396</c:v>
                </c:pt>
                <c:pt idx="43">
                  <c:v>1.9153500938480619</c:v>
                </c:pt>
                <c:pt idx="44">
                  <c:v>1.7693574478033574</c:v>
                </c:pt>
                <c:pt idx="45">
                  <c:v>1.1571105332608176</c:v>
                </c:pt>
                <c:pt idx="46">
                  <c:v>1.7341821520029557</c:v>
                </c:pt>
                <c:pt idx="47">
                  <c:v>1.2641198651258938</c:v>
                </c:pt>
                <c:pt idx="48">
                  <c:v>0.69323075837316017</c:v>
                </c:pt>
                <c:pt idx="49">
                  <c:v>-0.40185250255608684</c:v>
                </c:pt>
                <c:pt idx="50">
                  <c:v>-1.4443033134943701</c:v>
                </c:pt>
                <c:pt idx="51">
                  <c:v>1.6735443281270967E-2</c:v>
                </c:pt>
                <c:pt idx="52">
                  <c:v>0.22903842733476232</c:v>
                </c:pt>
                <c:pt idx="53">
                  <c:v>0.68854301541508633</c:v>
                </c:pt>
                <c:pt idx="54">
                  <c:v>1.4961793778016426</c:v>
                </c:pt>
                <c:pt idx="55">
                  <c:v>0.35673544328127105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11-4737-A80D-CDDAF9B4E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313903"/>
        <c:axId val="1866499903"/>
      </c:scatterChart>
      <c:valAx>
        <c:axId val="1418313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5.94636094521425</a:t>
                </a:r>
              </a:p>
            </c:rich>
          </c:tx>
          <c:overlay val="0"/>
        </c:title>
        <c:numFmt formatCode="0.00000_ " sourceLinked="1"/>
        <c:majorTickMark val="out"/>
        <c:minorTickMark val="none"/>
        <c:tickLblPos val="nextTo"/>
        <c:crossAx val="1866499903"/>
        <c:crosses val="autoZero"/>
        <c:crossBetween val="midCat"/>
      </c:valAx>
      <c:valAx>
        <c:axId val="1866499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83139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5.94636094521425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'Statistical speeds '!$K$9:$K$64</c:f>
              <c:numCache>
                <c:formatCode>0.00000_ </c:formatCode>
                <c:ptCount val="56"/>
                <c:pt idx="0">
                  <c:v>8.8474907214908249</c:v>
                </c:pt>
                <c:pt idx="1">
                  <c:v>13.062677323779347</c:v>
                </c:pt>
                <c:pt idx="2">
                  <c:v>25.46993650163051</c:v>
                </c:pt>
                <c:pt idx="3">
                  <c:v>2.8888158424046217</c:v>
                </c:pt>
                <c:pt idx="4">
                  <c:v>1.7916852510748404</c:v>
                </c:pt>
                <c:pt idx="5">
                  <c:v>11.072127827283364</c:v>
                </c:pt>
                <c:pt idx="6">
                  <c:v>1.1299572732028955</c:v>
                </c:pt>
                <c:pt idx="7">
                  <c:v>3.1749925845431681</c:v>
                </c:pt>
                <c:pt idx="8">
                  <c:v>4.3737766496146788</c:v>
                </c:pt>
                <c:pt idx="9">
                  <c:v>4.6828018146619179</c:v>
                </c:pt>
                <c:pt idx="10">
                  <c:v>2.4649116539585414</c:v>
                </c:pt>
                <c:pt idx="11">
                  <c:v>7.5485972315941652</c:v>
                </c:pt>
                <c:pt idx="12">
                  <c:v>7.9488043296243225</c:v>
                </c:pt>
                <c:pt idx="13">
                  <c:v>10.239278055352104</c:v>
                </c:pt>
                <c:pt idx="14">
                  <c:v>1.3498168846294682</c:v>
                </c:pt>
                <c:pt idx="15">
                  <c:v>3.2355227164896347</c:v>
                </c:pt>
                <c:pt idx="16">
                  <c:v>34.200834958476143</c:v>
                </c:pt>
                <c:pt idx="17">
                  <c:v>6.8264241175949145</c:v>
                </c:pt>
                <c:pt idx="18">
                  <c:v>16.740172576134722</c:v>
                </c:pt>
                <c:pt idx="19">
                  <c:v>2.3691269879947177</c:v>
                </c:pt>
                <c:pt idx="20">
                  <c:v>1.2562566076514516</c:v>
                </c:pt>
                <c:pt idx="21">
                  <c:v>2.0499397935319097</c:v>
                </c:pt>
                <c:pt idx="22">
                  <c:v>1.7651407065127414</c:v>
                </c:pt>
                <c:pt idx="23">
                  <c:v>2.6208603301995326</c:v>
                </c:pt>
                <c:pt idx="24">
                  <c:v>1.7508157039855281</c:v>
                </c:pt>
                <c:pt idx="25">
                  <c:v>0.29328380945050109</c:v>
                </c:pt>
                <c:pt idx="26">
                  <c:v>0.11323657334880041</c:v>
                </c:pt>
                <c:pt idx="27">
                  <c:v>0.96287533094698718</c:v>
                </c:pt>
                <c:pt idx="28">
                  <c:v>1.0071870487338306</c:v>
                </c:pt>
                <c:pt idx="29">
                  <c:v>4.1660813089583115</c:v>
                </c:pt>
                <c:pt idx="30">
                  <c:v>6.9284338280979467</c:v>
                </c:pt>
                <c:pt idx="31">
                  <c:v>1.7369411294825325</c:v>
                </c:pt>
                <c:pt idx="32">
                  <c:v>0.99054784821957542</c:v>
                </c:pt>
                <c:pt idx="33">
                  <c:v>0.98071597677834943</c:v>
                </c:pt>
                <c:pt idx="34">
                  <c:v>7.3785199278479627</c:v>
                </c:pt>
                <c:pt idx="35">
                  <c:v>1.046946771724933</c:v>
                </c:pt>
                <c:pt idx="36">
                  <c:v>1.0943151715151616</c:v>
                </c:pt>
                <c:pt idx="37">
                  <c:v>2.1939501718996355</c:v>
                </c:pt>
                <c:pt idx="38">
                  <c:v>2.4986181006499701</c:v>
                </c:pt>
                <c:pt idx="39">
                  <c:v>0.76679568438231871</c:v>
                </c:pt>
                <c:pt idx="40">
                  <c:v>0.60312847125925118</c:v>
                </c:pt>
                <c:pt idx="41">
                  <c:v>1.848469829725315</c:v>
                </c:pt>
                <c:pt idx="42">
                  <c:v>9.1776204814456523</c:v>
                </c:pt>
                <c:pt idx="43">
                  <c:v>13.699784462763525</c:v>
                </c:pt>
                <c:pt idx="44">
                  <c:v>3.7106940878238377</c:v>
                </c:pt>
                <c:pt idx="45">
                  <c:v>3.3933009024799539</c:v>
                </c:pt>
                <c:pt idx="46">
                  <c:v>10.881960989589398</c:v>
                </c:pt>
                <c:pt idx="47">
                  <c:v>4.3344850842570182</c:v>
                </c:pt>
                <c:pt idx="48">
                  <c:v>28.933479726728017</c:v>
                </c:pt>
                <c:pt idx="49">
                  <c:v>110.6075222336716</c:v>
                </c:pt>
                <c:pt idx="50">
                  <c:v>144.27673484646078</c:v>
                </c:pt>
                <c:pt idx="51">
                  <c:v>66.86203099533725</c:v>
                </c:pt>
                <c:pt idx="52">
                  <c:v>56.123960314866174</c:v>
                </c:pt>
                <c:pt idx="53">
                  <c:v>29.125384959515657</c:v>
                </c:pt>
                <c:pt idx="54">
                  <c:v>12.437705682697676</c:v>
                </c:pt>
                <c:pt idx="55">
                  <c:v>66.86203099533725</c:v>
                </c:pt>
              </c:numCache>
            </c:numRef>
          </c:xVal>
          <c:yVal>
            <c:numRef>
              <c:f>'Statistical speeds '!$E$9:$E$64</c:f>
              <c:numCache>
                <c:formatCode>0.00_);[Red]\(0.00\)</c:formatCode>
                <c:ptCount val="56"/>
                <c:pt idx="0">
                  <c:v>0.34</c:v>
                </c:pt>
                <c:pt idx="1">
                  <c:v>1.08</c:v>
                </c:pt>
                <c:pt idx="2">
                  <c:v>0.85</c:v>
                </c:pt>
                <c:pt idx="3">
                  <c:v>0.34</c:v>
                </c:pt>
                <c:pt idx="4">
                  <c:v>0.33</c:v>
                </c:pt>
                <c:pt idx="5">
                  <c:v>0.69</c:v>
                </c:pt>
                <c:pt idx="6">
                  <c:v>0.46</c:v>
                </c:pt>
                <c:pt idx="7">
                  <c:v>0.52</c:v>
                </c:pt>
                <c:pt idx="8">
                  <c:v>0.59</c:v>
                </c:pt>
                <c:pt idx="9">
                  <c:v>0.63</c:v>
                </c:pt>
                <c:pt idx="10">
                  <c:v>0.42</c:v>
                </c:pt>
                <c:pt idx="11">
                  <c:v>0.71</c:v>
                </c:pt>
                <c:pt idx="12">
                  <c:v>0.44</c:v>
                </c:pt>
                <c:pt idx="13">
                  <c:v>1.1000000000000001</c:v>
                </c:pt>
                <c:pt idx="14">
                  <c:v>0.42</c:v>
                </c:pt>
                <c:pt idx="15">
                  <c:v>0.36</c:v>
                </c:pt>
                <c:pt idx="16">
                  <c:v>1.1000000000000001</c:v>
                </c:pt>
                <c:pt idx="17">
                  <c:v>0.9</c:v>
                </c:pt>
                <c:pt idx="18">
                  <c:v>0.94</c:v>
                </c:pt>
                <c:pt idx="19">
                  <c:v>0.71</c:v>
                </c:pt>
                <c:pt idx="20">
                  <c:v>0.22</c:v>
                </c:pt>
                <c:pt idx="21">
                  <c:v>0.75</c:v>
                </c:pt>
                <c:pt idx="22">
                  <c:v>0.67</c:v>
                </c:pt>
                <c:pt idx="23">
                  <c:v>0.64</c:v>
                </c:pt>
                <c:pt idx="24">
                  <c:v>0.69</c:v>
                </c:pt>
                <c:pt idx="25">
                  <c:v>0.14000000000000001</c:v>
                </c:pt>
                <c:pt idx="26">
                  <c:v>0.09</c:v>
                </c:pt>
                <c:pt idx="27">
                  <c:v>0.08</c:v>
                </c:pt>
                <c:pt idx="28">
                  <c:v>0.28999999999999998</c:v>
                </c:pt>
                <c:pt idx="29">
                  <c:v>0.64</c:v>
                </c:pt>
                <c:pt idx="30">
                  <c:v>0.5</c:v>
                </c:pt>
                <c:pt idx="31">
                  <c:v>0.31</c:v>
                </c:pt>
                <c:pt idx="32">
                  <c:v>0.24</c:v>
                </c:pt>
                <c:pt idx="33">
                  <c:v>0.14000000000000001</c:v>
                </c:pt>
                <c:pt idx="34">
                  <c:v>0.6</c:v>
                </c:pt>
                <c:pt idx="35">
                  <c:v>0.56999999999999995</c:v>
                </c:pt>
                <c:pt idx="36">
                  <c:v>0.12</c:v>
                </c:pt>
                <c:pt idx="37">
                  <c:v>0.14000000000000001</c:v>
                </c:pt>
                <c:pt idx="38">
                  <c:v>0.53</c:v>
                </c:pt>
                <c:pt idx="39">
                  <c:v>0.1</c:v>
                </c:pt>
                <c:pt idx="40">
                  <c:v>0.06</c:v>
                </c:pt>
                <c:pt idx="41">
                  <c:v>0.2</c:v>
                </c:pt>
                <c:pt idx="42">
                  <c:v>1.0900000000000001</c:v>
                </c:pt>
                <c:pt idx="43">
                  <c:v>2.25</c:v>
                </c:pt>
                <c:pt idx="44">
                  <c:v>1.86</c:v>
                </c:pt>
                <c:pt idx="45">
                  <c:v>1.24</c:v>
                </c:pt>
                <c:pt idx="46" formatCode="General">
                  <c:v>2</c:v>
                </c:pt>
                <c:pt idx="47" formatCode="General">
                  <c:v>1.37</c:v>
                </c:pt>
                <c:pt idx="48" formatCode="General">
                  <c:v>1.4</c:v>
                </c:pt>
                <c:pt idx="49" formatCode="General">
                  <c:v>2.2999999999999998</c:v>
                </c:pt>
                <c:pt idx="50" formatCode="General">
                  <c:v>2.08</c:v>
                </c:pt>
                <c:pt idx="51" formatCode="General">
                  <c:v>1.65</c:v>
                </c:pt>
                <c:pt idx="52" formatCode="General">
                  <c:v>1.6</c:v>
                </c:pt>
                <c:pt idx="53" formatCode="General">
                  <c:v>1.4</c:v>
                </c:pt>
                <c:pt idx="54" formatCode="General">
                  <c:v>1.8</c:v>
                </c:pt>
                <c:pt idx="55" formatCode="General">
                  <c:v>1.99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37-44F8-830D-18951825DA1B}"/>
            </c:ext>
          </c:extLst>
        </c:ser>
        <c:ser>
          <c:idx val="1"/>
          <c:order val="1"/>
          <c:tx>
            <c:v>预测 0.48</c:v>
          </c:tx>
          <c:spPr>
            <a:ln w="19050">
              <a:noFill/>
            </a:ln>
          </c:spPr>
          <c:xVal>
            <c:numRef>
              <c:f>'Statistical speeds '!$K$9:$K$64</c:f>
              <c:numCache>
                <c:formatCode>0.00000_ </c:formatCode>
                <c:ptCount val="56"/>
                <c:pt idx="0">
                  <c:v>8.8474907214908249</c:v>
                </c:pt>
                <c:pt idx="1">
                  <c:v>13.062677323779347</c:v>
                </c:pt>
                <c:pt idx="2">
                  <c:v>25.46993650163051</c:v>
                </c:pt>
                <c:pt idx="3">
                  <c:v>2.8888158424046217</c:v>
                </c:pt>
                <c:pt idx="4">
                  <c:v>1.7916852510748404</c:v>
                </c:pt>
                <c:pt idx="5">
                  <c:v>11.072127827283364</c:v>
                </c:pt>
                <c:pt idx="6">
                  <c:v>1.1299572732028955</c:v>
                </c:pt>
                <c:pt idx="7">
                  <c:v>3.1749925845431681</c:v>
                </c:pt>
                <c:pt idx="8">
                  <c:v>4.3737766496146788</c:v>
                </c:pt>
                <c:pt idx="9">
                  <c:v>4.6828018146619179</c:v>
                </c:pt>
                <c:pt idx="10">
                  <c:v>2.4649116539585414</c:v>
                </c:pt>
                <c:pt idx="11">
                  <c:v>7.5485972315941652</c:v>
                </c:pt>
                <c:pt idx="12">
                  <c:v>7.9488043296243225</c:v>
                </c:pt>
                <c:pt idx="13">
                  <c:v>10.239278055352104</c:v>
                </c:pt>
                <c:pt idx="14">
                  <c:v>1.3498168846294682</c:v>
                </c:pt>
                <c:pt idx="15">
                  <c:v>3.2355227164896347</c:v>
                </c:pt>
                <c:pt idx="16">
                  <c:v>34.200834958476143</c:v>
                </c:pt>
                <c:pt idx="17">
                  <c:v>6.8264241175949145</c:v>
                </c:pt>
                <c:pt idx="18">
                  <c:v>16.740172576134722</c:v>
                </c:pt>
                <c:pt idx="19">
                  <c:v>2.3691269879947177</c:v>
                </c:pt>
                <c:pt idx="20">
                  <c:v>1.2562566076514516</c:v>
                </c:pt>
                <c:pt idx="21">
                  <c:v>2.0499397935319097</c:v>
                </c:pt>
                <c:pt idx="22">
                  <c:v>1.7651407065127414</c:v>
                </c:pt>
                <c:pt idx="23">
                  <c:v>2.6208603301995326</c:v>
                </c:pt>
                <c:pt idx="24">
                  <c:v>1.7508157039855281</c:v>
                </c:pt>
                <c:pt idx="25">
                  <c:v>0.29328380945050109</c:v>
                </c:pt>
                <c:pt idx="26">
                  <c:v>0.11323657334880041</c:v>
                </c:pt>
                <c:pt idx="27">
                  <c:v>0.96287533094698718</c:v>
                </c:pt>
                <c:pt idx="28">
                  <c:v>1.0071870487338306</c:v>
                </c:pt>
                <c:pt idx="29">
                  <c:v>4.1660813089583115</c:v>
                </c:pt>
                <c:pt idx="30">
                  <c:v>6.9284338280979467</c:v>
                </c:pt>
                <c:pt idx="31">
                  <c:v>1.7369411294825325</c:v>
                </c:pt>
                <c:pt idx="32">
                  <c:v>0.99054784821957542</c:v>
                </c:pt>
                <c:pt idx="33">
                  <c:v>0.98071597677834943</c:v>
                </c:pt>
                <c:pt idx="34">
                  <c:v>7.3785199278479627</c:v>
                </c:pt>
                <c:pt idx="35">
                  <c:v>1.046946771724933</c:v>
                </c:pt>
                <c:pt idx="36">
                  <c:v>1.0943151715151616</c:v>
                </c:pt>
                <c:pt idx="37">
                  <c:v>2.1939501718996355</c:v>
                </c:pt>
                <c:pt idx="38">
                  <c:v>2.4986181006499701</c:v>
                </c:pt>
                <c:pt idx="39">
                  <c:v>0.76679568438231871</c:v>
                </c:pt>
                <c:pt idx="40">
                  <c:v>0.60312847125925118</c:v>
                </c:pt>
                <c:pt idx="41">
                  <c:v>1.848469829725315</c:v>
                </c:pt>
                <c:pt idx="42">
                  <c:v>9.1776204814456523</c:v>
                </c:pt>
                <c:pt idx="43">
                  <c:v>13.699784462763525</c:v>
                </c:pt>
                <c:pt idx="44">
                  <c:v>3.7106940878238377</c:v>
                </c:pt>
                <c:pt idx="45">
                  <c:v>3.3933009024799539</c:v>
                </c:pt>
                <c:pt idx="46">
                  <c:v>10.881960989589398</c:v>
                </c:pt>
                <c:pt idx="47">
                  <c:v>4.3344850842570182</c:v>
                </c:pt>
                <c:pt idx="48">
                  <c:v>28.933479726728017</c:v>
                </c:pt>
                <c:pt idx="49">
                  <c:v>110.6075222336716</c:v>
                </c:pt>
                <c:pt idx="50">
                  <c:v>144.27673484646078</c:v>
                </c:pt>
                <c:pt idx="51">
                  <c:v>66.86203099533725</c:v>
                </c:pt>
                <c:pt idx="52">
                  <c:v>56.123960314866174</c:v>
                </c:pt>
                <c:pt idx="53">
                  <c:v>29.125384959515657</c:v>
                </c:pt>
                <c:pt idx="54">
                  <c:v>12.437705682697676</c:v>
                </c:pt>
                <c:pt idx="55">
                  <c:v>66.86203099533725</c:v>
                </c:pt>
              </c:numCache>
            </c:numRef>
          </c:xVal>
          <c:yVal>
            <c:numRef>
              <c:f>'Statistical distribution inform'!$B$25:$B$80</c:f>
              <c:numCache>
                <c:formatCode>General</c:formatCode>
                <c:ptCount val="56"/>
                <c:pt idx="0">
                  <c:v>0.21612105998270523</c:v>
                </c:pt>
                <c:pt idx="1">
                  <c:v>0.31908704493691031</c:v>
                </c:pt>
                <c:pt idx="2">
                  <c:v>0.6221639386468939</c:v>
                </c:pt>
                <c:pt idx="3">
                  <c:v>7.056621607285693E-2</c:v>
                </c:pt>
                <c:pt idx="4">
                  <c:v>4.3766184990406652E-2</c:v>
                </c:pt>
                <c:pt idx="5">
                  <c:v>0.27046312650930643</c:v>
                </c:pt>
                <c:pt idx="6">
                  <c:v>2.7601901070841411E-2</c:v>
                </c:pt>
                <c:pt idx="7">
                  <c:v>7.7556765461413768E-2</c:v>
                </c:pt>
                <c:pt idx="8">
                  <c:v>0.10683992505877982</c:v>
                </c:pt>
                <c:pt idx="9">
                  <c:v>0.11438860166480468</c:v>
                </c:pt>
                <c:pt idx="10">
                  <c:v>6.0211345361826901E-2</c:v>
                </c:pt>
                <c:pt idx="11">
                  <c:v>0.18439248894739144</c:v>
                </c:pt>
                <c:pt idx="12">
                  <c:v>0.19416850171322406</c:v>
                </c:pt>
                <c:pt idx="13">
                  <c:v>0.25011878468604554</c:v>
                </c:pt>
                <c:pt idx="14">
                  <c:v>3.2972496391555119E-2</c:v>
                </c:pt>
                <c:pt idx="15">
                  <c:v>7.903535828382692E-2</c:v>
                </c:pt>
                <c:pt idx="16">
                  <c:v>0.83543695452148881</c:v>
                </c:pt>
                <c:pt idx="17">
                  <c:v>0.16675168843099036</c:v>
                </c:pt>
                <c:pt idx="18">
                  <c:v>0.40891863640609993</c:v>
                </c:pt>
                <c:pt idx="19">
                  <c:v>5.7871576472563489E-2</c:v>
                </c:pt>
                <c:pt idx="20">
                  <c:v>3.0687063507895958E-2</c:v>
                </c:pt>
                <c:pt idx="21">
                  <c:v>5.0074668064098479E-2</c:v>
                </c:pt>
                <c:pt idx="22">
                  <c:v>4.3117771187204348E-2</c:v>
                </c:pt>
                <c:pt idx="23">
                  <c:v>6.4020763678619835E-2</c:v>
                </c:pt>
                <c:pt idx="24">
                  <c:v>4.2767848838835429E-2</c:v>
                </c:pt>
                <c:pt idx="25">
                  <c:v>7.1641564562757217E-3</c:v>
                </c:pt>
                <c:pt idx="26">
                  <c:v>2.7660733456896314E-3</c:v>
                </c:pt>
                <c:pt idx="27">
                  <c:v>2.3520526181506522E-2</c:v>
                </c:pt>
                <c:pt idx="28">
                  <c:v>2.4602945561103609E-2</c:v>
                </c:pt>
                <c:pt idx="29">
                  <c:v>0.10176647106045118</c:v>
                </c:pt>
                <c:pt idx="30">
                  <c:v>0.16924351887833888</c:v>
                </c:pt>
                <c:pt idx="31">
                  <c:v>4.2428929269119155E-2</c:v>
                </c:pt>
                <c:pt idx="32">
                  <c:v>2.419649340810269E-2</c:v>
                </c:pt>
                <c:pt idx="33">
                  <c:v>2.3956326501532215E-2</c:v>
                </c:pt>
                <c:pt idx="34">
                  <c:v>0.18023794521044859</c:v>
                </c:pt>
                <c:pt idx="35">
                  <c:v>2.5574171612415916E-2</c:v>
                </c:pt>
                <c:pt idx="36">
                  <c:v>2.6731257739387712E-2</c:v>
                </c:pt>
                <c:pt idx="37">
                  <c:v>5.3592464985404424E-2</c:v>
                </c:pt>
                <c:pt idx="38">
                  <c:v>6.1034705703930159E-2</c:v>
                </c:pt>
                <c:pt idx="39">
                  <c:v>1.8730813211968674E-2</c:v>
                </c:pt>
                <c:pt idx="40">
                  <c:v>1.4732851225000645E-2</c:v>
                </c:pt>
                <c:pt idx="41">
                  <c:v>4.5153283741332942E-2</c:v>
                </c:pt>
                <c:pt idx="42">
                  <c:v>0.22418526664866611</c:v>
                </c:pt>
                <c:pt idx="43">
                  <c:v>0.33464990615193824</c:v>
                </c:pt>
                <c:pt idx="44">
                  <c:v>9.0642552196642842E-2</c:v>
                </c:pt>
                <c:pt idx="45">
                  <c:v>8.2889466739182321E-2</c:v>
                </c:pt>
                <c:pt idx="46">
                  <c:v>0.26581784799704439</c:v>
                </c:pt>
                <c:pt idx="47">
                  <c:v>0.10588013487410626</c:v>
                </c:pt>
                <c:pt idx="48">
                  <c:v>0.70676924162683974</c:v>
                </c:pt>
                <c:pt idx="49">
                  <c:v>2.7018525025560867</c:v>
                </c:pt>
                <c:pt idx="50">
                  <c:v>3.5243033134943702</c:v>
                </c:pt>
                <c:pt idx="51">
                  <c:v>1.6332645567187289</c:v>
                </c:pt>
                <c:pt idx="52">
                  <c:v>1.3709615726652378</c:v>
                </c:pt>
                <c:pt idx="53">
                  <c:v>0.71145698458491358</c:v>
                </c:pt>
                <c:pt idx="54">
                  <c:v>0.30382062219835759</c:v>
                </c:pt>
                <c:pt idx="55">
                  <c:v>1.6332645567187289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37-44F8-830D-18951825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933327"/>
        <c:axId val="1870933807"/>
      </c:scatterChart>
      <c:valAx>
        <c:axId val="1870933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5.94636094521425</a:t>
                </a:r>
              </a:p>
            </c:rich>
          </c:tx>
          <c:overlay val="0"/>
        </c:title>
        <c:numFmt formatCode="0.00000_ " sourceLinked="1"/>
        <c:majorTickMark val="out"/>
        <c:minorTickMark val="none"/>
        <c:tickLblPos val="nextTo"/>
        <c:crossAx val="1870933807"/>
        <c:crosses val="autoZero"/>
        <c:crossBetween val="midCat"/>
      </c:valAx>
      <c:valAx>
        <c:axId val="1870933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0.48</a:t>
                </a:r>
              </a:p>
            </c:rich>
          </c:tx>
          <c:overlay val="0"/>
        </c:title>
        <c:numFmt formatCode="0.00_);[Red]\(0.00\)" sourceLinked="1"/>
        <c:majorTickMark val="out"/>
        <c:minorTickMark val="none"/>
        <c:tickLblPos val="nextTo"/>
        <c:crossAx val="18709333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Normal Probability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126810537571694"/>
          <c:y val="0.24233201419770711"/>
          <c:w val="0.81279065811218043"/>
          <c:h val="0.3897461003903009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>
                <a:noFill/>
              </a:ln>
            </c:spPr>
            <c:trendlineType val="linear"/>
            <c:dispRSqr val="0"/>
            <c:dispEq val="0"/>
          </c:trendline>
          <c:trendline>
            <c:trendlineType val="exp"/>
            <c:dispRSqr val="1"/>
            <c:dispEq val="1"/>
            <c:trendlineLbl>
              <c:layout>
                <c:manualLayout>
                  <c:x val="-4.8061875001781128E-2"/>
                  <c:y val="-7.0447534026955527E-2"/>
                </c:manualLayout>
              </c:layout>
              <c:numFmt formatCode="General" sourceLinked="0"/>
            </c:trendlineLbl>
          </c:trendline>
          <c:xVal>
            <c:numRef>
              <c:f>'Statistical distribution inform'!$F$25:$F$80</c:f>
              <c:numCache>
                <c:formatCode>General</c:formatCode>
                <c:ptCount val="56"/>
                <c:pt idx="0">
                  <c:v>0.8928571428571429</c:v>
                </c:pt>
                <c:pt idx="1">
                  <c:v>2.6785714285714288</c:v>
                </c:pt>
                <c:pt idx="2">
                  <c:v>4.4642857142857144</c:v>
                </c:pt>
                <c:pt idx="3">
                  <c:v>6.2500000000000009</c:v>
                </c:pt>
                <c:pt idx="4">
                  <c:v>8.0357142857142865</c:v>
                </c:pt>
                <c:pt idx="5">
                  <c:v>9.8214285714285712</c:v>
                </c:pt>
                <c:pt idx="6">
                  <c:v>11.607142857142858</c:v>
                </c:pt>
                <c:pt idx="7">
                  <c:v>13.392857142857142</c:v>
                </c:pt>
                <c:pt idx="8">
                  <c:v>15.178571428571429</c:v>
                </c:pt>
                <c:pt idx="9">
                  <c:v>16.964285714285715</c:v>
                </c:pt>
                <c:pt idx="10">
                  <c:v>18.75</c:v>
                </c:pt>
                <c:pt idx="11">
                  <c:v>20.535714285714285</c:v>
                </c:pt>
                <c:pt idx="12">
                  <c:v>22.321428571428573</c:v>
                </c:pt>
                <c:pt idx="13">
                  <c:v>24.107142857142858</c:v>
                </c:pt>
                <c:pt idx="14">
                  <c:v>25.892857142857142</c:v>
                </c:pt>
                <c:pt idx="15">
                  <c:v>27.678571428571431</c:v>
                </c:pt>
                <c:pt idx="16">
                  <c:v>29.464285714285715</c:v>
                </c:pt>
                <c:pt idx="17">
                  <c:v>31.25</c:v>
                </c:pt>
                <c:pt idx="18">
                  <c:v>33.035714285714292</c:v>
                </c:pt>
                <c:pt idx="19">
                  <c:v>34.821428571428577</c:v>
                </c:pt>
                <c:pt idx="20">
                  <c:v>36.607142857142861</c:v>
                </c:pt>
                <c:pt idx="21">
                  <c:v>38.392857142857146</c:v>
                </c:pt>
                <c:pt idx="22">
                  <c:v>40.178571428571431</c:v>
                </c:pt>
                <c:pt idx="23">
                  <c:v>41.964285714285722</c:v>
                </c:pt>
                <c:pt idx="24">
                  <c:v>43.750000000000007</c:v>
                </c:pt>
                <c:pt idx="25">
                  <c:v>45.535714285714292</c:v>
                </c:pt>
                <c:pt idx="26">
                  <c:v>47.321428571428577</c:v>
                </c:pt>
                <c:pt idx="27">
                  <c:v>49.107142857142861</c:v>
                </c:pt>
                <c:pt idx="28">
                  <c:v>50.892857142857146</c:v>
                </c:pt>
                <c:pt idx="29">
                  <c:v>52.678571428571438</c:v>
                </c:pt>
                <c:pt idx="30">
                  <c:v>54.464285714285722</c:v>
                </c:pt>
                <c:pt idx="31">
                  <c:v>56.250000000000007</c:v>
                </c:pt>
                <c:pt idx="32">
                  <c:v>58.035714285714292</c:v>
                </c:pt>
                <c:pt idx="33">
                  <c:v>59.821428571428577</c:v>
                </c:pt>
                <c:pt idx="34">
                  <c:v>61.607142857142861</c:v>
                </c:pt>
                <c:pt idx="35">
                  <c:v>63.392857142857146</c:v>
                </c:pt>
                <c:pt idx="36">
                  <c:v>65.178571428571431</c:v>
                </c:pt>
                <c:pt idx="37">
                  <c:v>66.964285714285708</c:v>
                </c:pt>
                <c:pt idx="38">
                  <c:v>68.75</c:v>
                </c:pt>
                <c:pt idx="39">
                  <c:v>70.535714285714292</c:v>
                </c:pt>
                <c:pt idx="40">
                  <c:v>72.321428571428569</c:v>
                </c:pt>
                <c:pt idx="41">
                  <c:v>74.107142857142861</c:v>
                </c:pt>
                <c:pt idx="42">
                  <c:v>75.892857142857139</c:v>
                </c:pt>
                <c:pt idx="43">
                  <c:v>77.678571428571431</c:v>
                </c:pt>
                <c:pt idx="44">
                  <c:v>79.464285714285708</c:v>
                </c:pt>
                <c:pt idx="45">
                  <c:v>81.25</c:v>
                </c:pt>
                <c:pt idx="46">
                  <c:v>83.035714285714292</c:v>
                </c:pt>
                <c:pt idx="47">
                  <c:v>84.821428571428569</c:v>
                </c:pt>
                <c:pt idx="48">
                  <c:v>86.607142857142861</c:v>
                </c:pt>
                <c:pt idx="49">
                  <c:v>88.392857142857139</c:v>
                </c:pt>
                <c:pt idx="50">
                  <c:v>90.178571428571431</c:v>
                </c:pt>
                <c:pt idx="51">
                  <c:v>91.964285714285708</c:v>
                </c:pt>
                <c:pt idx="52">
                  <c:v>93.75</c:v>
                </c:pt>
                <c:pt idx="53">
                  <c:v>95.535714285714292</c:v>
                </c:pt>
                <c:pt idx="54">
                  <c:v>97.321428571428569</c:v>
                </c:pt>
                <c:pt idx="55">
                  <c:v>99.107142857142861</c:v>
                </c:pt>
              </c:numCache>
            </c:numRef>
          </c:xVal>
          <c:yVal>
            <c:numRef>
              <c:f>'Statistical distribution inform'!$G$25:$G$80</c:f>
              <c:numCache>
                <c:formatCode>General</c:formatCode>
                <c:ptCount val="56"/>
                <c:pt idx="0">
                  <c:v>0.06</c:v>
                </c:pt>
                <c:pt idx="1">
                  <c:v>0.08</c:v>
                </c:pt>
                <c:pt idx="2">
                  <c:v>0.09</c:v>
                </c:pt>
                <c:pt idx="3">
                  <c:v>0.1</c:v>
                </c:pt>
                <c:pt idx="4">
                  <c:v>0.12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0.2</c:v>
                </c:pt>
                <c:pt idx="9">
                  <c:v>0.22</c:v>
                </c:pt>
                <c:pt idx="10">
                  <c:v>0.24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0.34</c:v>
                </c:pt>
                <c:pt idx="15">
                  <c:v>0.34</c:v>
                </c:pt>
                <c:pt idx="16">
                  <c:v>0.36</c:v>
                </c:pt>
                <c:pt idx="17">
                  <c:v>0.42</c:v>
                </c:pt>
                <c:pt idx="18">
                  <c:v>0.42</c:v>
                </c:pt>
                <c:pt idx="19">
                  <c:v>0.44</c:v>
                </c:pt>
                <c:pt idx="20">
                  <c:v>0.46</c:v>
                </c:pt>
                <c:pt idx="21">
                  <c:v>0.5</c:v>
                </c:pt>
                <c:pt idx="22">
                  <c:v>0.52</c:v>
                </c:pt>
                <c:pt idx="23">
                  <c:v>0.53</c:v>
                </c:pt>
                <c:pt idx="24">
                  <c:v>0.56999999999999995</c:v>
                </c:pt>
                <c:pt idx="25">
                  <c:v>0.59</c:v>
                </c:pt>
                <c:pt idx="26">
                  <c:v>0.6</c:v>
                </c:pt>
                <c:pt idx="27">
                  <c:v>0.63</c:v>
                </c:pt>
                <c:pt idx="28">
                  <c:v>0.64</c:v>
                </c:pt>
                <c:pt idx="29">
                  <c:v>0.64</c:v>
                </c:pt>
                <c:pt idx="30">
                  <c:v>0.67</c:v>
                </c:pt>
                <c:pt idx="31">
                  <c:v>0.69</c:v>
                </c:pt>
                <c:pt idx="32">
                  <c:v>0.69</c:v>
                </c:pt>
                <c:pt idx="33">
                  <c:v>0.71</c:v>
                </c:pt>
                <c:pt idx="34">
                  <c:v>0.71</c:v>
                </c:pt>
                <c:pt idx="35">
                  <c:v>0.75</c:v>
                </c:pt>
                <c:pt idx="36">
                  <c:v>0.85</c:v>
                </c:pt>
                <c:pt idx="37">
                  <c:v>0.9</c:v>
                </c:pt>
                <c:pt idx="38">
                  <c:v>0.94</c:v>
                </c:pt>
                <c:pt idx="39">
                  <c:v>1.08</c:v>
                </c:pt>
                <c:pt idx="40">
                  <c:v>1.0900000000000001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1.24</c:v>
                </c:pt>
                <c:pt idx="44">
                  <c:v>1.37</c:v>
                </c:pt>
                <c:pt idx="45">
                  <c:v>1.4</c:v>
                </c:pt>
                <c:pt idx="46">
                  <c:v>1.4</c:v>
                </c:pt>
                <c:pt idx="47">
                  <c:v>1.6</c:v>
                </c:pt>
                <c:pt idx="48">
                  <c:v>1.65</c:v>
                </c:pt>
                <c:pt idx="49">
                  <c:v>1.8</c:v>
                </c:pt>
                <c:pt idx="50">
                  <c:v>1.86</c:v>
                </c:pt>
                <c:pt idx="51">
                  <c:v>1.99</c:v>
                </c:pt>
                <c:pt idx="52">
                  <c:v>2</c:v>
                </c:pt>
                <c:pt idx="53">
                  <c:v>2.08</c:v>
                </c:pt>
                <c:pt idx="54">
                  <c:v>2.25</c:v>
                </c:pt>
                <c:pt idx="55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C-42F1-B6BC-6D515793E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935247"/>
        <c:axId val="1870932847"/>
      </c:scatterChart>
      <c:valAx>
        <c:axId val="1870935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0932847"/>
        <c:crosses val="autoZero"/>
        <c:crossBetween val="midCat"/>
      </c:valAx>
      <c:valAx>
        <c:axId val="1870932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0.48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09352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9</xdr:row>
      <xdr:rowOff>133350</xdr:rowOff>
    </xdr:from>
    <xdr:to>
      <xdr:col>16</xdr:col>
      <xdr:colOff>285750</xdr:colOff>
      <xdr:row>20</xdr:row>
      <xdr:rowOff>152401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597069-8F19-3B86-8D2F-266B157A8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323849</xdr:colOff>
      <xdr:row>9</xdr:row>
      <xdr:rowOff>133351</xdr:rowOff>
    </xdr:from>
    <xdr:to>
      <xdr:col>22</xdr:col>
      <xdr:colOff>571500</xdr:colOff>
      <xdr:row>20</xdr:row>
      <xdr:rowOff>142876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9A8BC88-D1ED-5672-7820-CE5EFA84A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161924</xdr:colOff>
      <xdr:row>21</xdr:row>
      <xdr:rowOff>47625</xdr:rowOff>
    </xdr:from>
    <xdr:to>
      <xdr:col>22</xdr:col>
      <xdr:colOff>19049</xdr:colOff>
      <xdr:row>49</xdr:row>
      <xdr:rowOff>142876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B3D6534-03DD-1876-675C-FBFDCF0CC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oi.org/10.1242/jeb.185603" TargetMode="External"/><Relationship Id="rId1" Type="http://schemas.openxmlformats.org/officeDocument/2006/relationships/hyperlink" Target="https://doi.org/10.1016/j.zool.2009.12.00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94F5-A67F-4CF1-AEBF-CBC17FF895E5}">
  <dimension ref="A1:H56"/>
  <sheetViews>
    <sheetView tabSelected="1" topLeftCell="A40" zoomScale="50" zoomScaleNormal="50" workbookViewId="0">
      <selection activeCell="G1" sqref="F1:G1048576"/>
    </sheetView>
  </sheetViews>
  <sheetFormatPr defaultRowHeight="13.9" x14ac:dyDescent="0.4"/>
  <cols>
    <col min="1" max="1" width="42.265625" style="139" customWidth="1"/>
    <col min="2" max="2" width="82.46484375" customWidth="1"/>
    <col min="3" max="3" width="27.33203125" style="95" customWidth="1"/>
    <col min="4" max="4" width="63.9296875" customWidth="1"/>
    <col min="5" max="5" width="58.19921875" style="95" customWidth="1"/>
    <col min="6" max="6" width="63.6640625" customWidth="1"/>
    <col min="7" max="7" width="42.46484375" customWidth="1"/>
    <col min="8" max="8" width="133.796875" customWidth="1"/>
  </cols>
  <sheetData>
    <row r="1" spans="1:8" ht="39.950000000000003" customHeight="1" thickBot="1" x14ac:dyDescent="0.45">
      <c r="A1" s="131" t="s">
        <v>886</v>
      </c>
      <c r="B1" s="108" t="s">
        <v>887</v>
      </c>
      <c r="C1" s="108" t="s">
        <v>888</v>
      </c>
      <c r="D1" s="108" t="s">
        <v>889</v>
      </c>
      <c r="E1" s="108" t="s">
        <v>890</v>
      </c>
      <c r="F1" s="126" t="s">
        <v>891</v>
      </c>
      <c r="G1" s="108" t="s">
        <v>892</v>
      </c>
      <c r="H1" s="108" t="s">
        <v>893</v>
      </c>
    </row>
    <row r="2" spans="1:8" ht="39.950000000000003" customHeight="1" thickBot="1" x14ac:dyDescent="0.45">
      <c r="A2" s="132" t="s">
        <v>955</v>
      </c>
      <c r="B2" s="103" t="s">
        <v>970</v>
      </c>
      <c r="C2" s="140" t="s">
        <v>381</v>
      </c>
      <c r="D2" s="96" t="s">
        <v>992</v>
      </c>
      <c r="E2" s="38" t="s">
        <v>382</v>
      </c>
      <c r="F2" s="141" t="s">
        <v>1009</v>
      </c>
      <c r="G2" s="98" t="s">
        <v>383</v>
      </c>
      <c r="H2" s="101" t="s">
        <v>384</v>
      </c>
    </row>
    <row r="3" spans="1:8" ht="39.950000000000003" customHeight="1" thickTop="1" thickBot="1" x14ac:dyDescent="0.45">
      <c r="A3" s="132" t="s">
        <v>956</v>
      </c>
      <c r="B3" s="103" t="s">
        <v>970</v>
      </c>
      <c r="C3" s="140" t="s">
        <v>381</v>
      </c>
      <c r="D3" s="96" t="s">
        <v>992</v>
      </c>
      <c r="E3" s="38" t="s">
        <v>385</v>
      </c>
      <c r="F3" s="141" t="s">
        <v>1010</v>
      </c>
      <c r="G3" s="98" t="s">
        <v>386</v>
      </c>
      <c r="H3" s="101" t="s">
        <v>387</v>
      </c>
    </row>
    <row r="4" spans="1:8" ht="39.950000000000003" customHeight="1" thickTop="1" thickBot="1" x14ac:dyDescent="0.45">
      <c r="A4" s="133" t="s">
        <v>148</v>
      </c>
      <c r="B4" s="103" t="s">
        <v>970</v>
      </c>
      <c r="C4" s="140" t="s">
        <v>388</v>
      </c>
      <c r="D4" s="96" t="s">
        <v>816</v>
      </c>
      <c r="E4" s="38" t="s">
        <v>389</v>
      </c>
      <c r="F4" s="141" t="s">
        <v>1011</v>
      </c>
      <c r="G4" s="98" t="s">
        <v>390</v>
      </c>
      <c r="H4" s="101" t="s">
        <v>391</v>
      </c>
    </row>
    <row r="5" spans="1:8" ht="39.950000000000003" customHeight="1" thickTop="1" thickBot="1" x14ac:dyDescent="0.45">
      <c r="A5" s="134" t="s">
        <v>392</v>
      </c>
      <c r="B5" s="103" t="s">
        <v>970</v>
      </c>
      <c r="C5" s="140" t="s">
        <v>381</v>
      </c>
      <c r="D5" s="96" t="s">
        <v>798</v>
      </c>
      <c r="E5" s="38" t="s">
        <v>393</v>
      </c>
      <c r="F5" s="141" t="s">
        <v>1012</v>
      </c>
      <c r="G5" s="98" t="s">
        <v>394</v>
      </c>
      <c r="H5" s="101" t="s">
        <v>395</v>
      </c>
    </row>
    <row r="6" spans="1:8" ht="39.950000000000003" customHeight="1" thickTop="1" thickBot="1" x14ac:dyDescent="0.45">
      <c r="A6" s="132" t="s">
        <v>957</v>
      </c>
      <c r="B6" s="103" t="s">
        <v>970</v>
      </c>
      <c r="C6" s="140" t="s">
        <v>381</v>
      </c>
      <c r="D6" s="96" t="s">
        <v>798</v>
      </c>
      <c r="E6" s="38" t="s">
        <v>396</v>
      </c>
      <c r="F6" s="141" t="s">
        <v>1013</v>
      </c>
      <c r="G6" s="98" t="s">
        <v>397</v>
      </c>
      <c r="H6" s="101" t="s">
        <v>398</v>
      </c>
    </row>
    <row r="7" spans="1:8" ht="39.950000000000003" customHeight="1" thickTop="1" thickBot="1" x14ac:dyDescent="0.45">
      <c r="A7" s="133" t="s">
        <v>150</v>
      </c>
      <c r="B7" s="103" t="s">
        <v>970</v>
      </c>
      <c r="C7" s="140" t="s">
        <v>381</v>
      </c>
      <c r="D7" s="96" t="s">
        <v>798</v>
      </c>
      <c r="E7" s="38" t="s">
        <v>399</v>
      </c>
      <c r="F7" s="141" t="s">
        <v>1014</v>
      </c>
      <c r="G7" s="98" t="s">
        <v>400</v>
      </c>
      <c r="H7" s="101" t="s">
        <v>401</v>
      </c>
    </row>
    <row r="8" spans="1:8" ht="39.950000000000003" customHeight="1" thickTop="1" thickBot="1" x14ac:dyDescent="0.45">
      <c r="A8" s="133" t="s">
        <v>402</v>
      </c>
      <c r="B8" s="103" t="s">
        <v>970</v>
      </c>
      <c r="C8" s="140" t="s">
        <v>388</v>
      </c>
      <c r="D8" s="96" t="s">
        <v>798</v>
      </c>
      <c r="E8" s="38" t="s">
        <v>403</v>
      </c>
      <c r="F8" s="141" t="s">
        <v>1015</v>
      </c>
      <c r="G8" s="98" t="s">
        <v>404</v>
      </c>
      <c r="H8" s="101" t="s">
        <v>405</v>
      </c>
    </row>
    <row r="9" spans="1:8" ht="39.950000000000003" customHeight="1" thickTop="1" thickBot="1" x14ac:dyDescent="0.45">
      <c r="A9" s="135" t="s">
        <v>406</v>
      </c>
      <c r="B9" s="103" t="s">
        <v>971</v>
      </c>
      <c r="C9" s="140" t="s">
        <v>407</v>
      </c>
      <c r="D9" s="96" t="s">
        <v>993</v>
      </c>
      <c r="E9" s="38" t="s">
        <v>674</v>
      </c>
      <c r="F9" s="141" t="s">
        <v>1016</v>
      </c>
      <c r="G9" s="99" t="s">
        <v>409</v>
      </c>
      <c r="H9" s="101" t="s">
        <v>410</v>
      </c>
    </row>
    <row r="10" spans="1:8" ht="39.950000000000003" customHeight="1" thickTop="1" thickBot="1" x14ac:dyDescent="0.45">
      <c r="A10" s="135" t="s">
        <v>411</v>
      </c>
      <c r="B10" s="103" t="s">
        <v>972</v>
      </c>
      <c r="C10" s="140" t="s">
        <v>412</v>
      </c>
      <c r="D10" s="96" t="s">
        <v>994</v>
      </c>
      <c r="E10" s="38" t="s">
        <v>413</v>
      </c>
      <c r="F10" s="141" t="s">
        <v>1017</v>
      </c>
      <c r="G10" s="99" t="s">
        <v>409</v>
      </c>
      <c r="H10" s="101" t="s">
        <v>414</v>
      </c>
    </row>
    <row r="11" spans="1:8" ht="39.950000000000003" customHeight="1" thickTop="1" thickBot="1" x14ac:dyDescent="0.45">
      <c r="A11" s="135" t="s">
        <v>415</v>
      </c>
      <c r="B11" s="103" t="s">
        <v>971</v>
      </c>
      <c r="C11" s="140" t="s">
        <v>416</v>
      </c>
      <c r="D11" s="96" t="s">
        <v>993</v>
      </c>
      <c r="E11" s="38" t="s">
        <v>674</v>
      </c>
      <c r="F11" s="141" t="s">
        <v>1018</v>
      </c>
      <c r="G11" s="99" t="s">
        <v>409</v>
      </c>
      <c r="H11" s="101" t="s">
        <v>417</v>
      </c>
    </row>
    <row r="12" spans="1:8" ht="39.950000000000003" customHeight="1" thickTop="1" thickBot="1" x14ac:dyDescent="0.45">
      <c r="A12" s="135" t="s">
        <v>418</v>
      </c>
      <c r="B12" s="103" t="s">
        <v>973</v>
      </c>
      <c r="C12" s="140" t="s">
        <v>419</v>
      </c>
      <c r="D12" s="96" t="s">
        <v>995</v>
      </c>
      <c r="E12" s="38" t="s">
        <v>420</v>
      </c>
      <c r="F12" s="141" t="s">
        <v>1019</v>
      </c>
      <c r="G12" s="99" t="s">
        <v>409</v>
      </c>
      <c r="H12" s="101" t="s">
        <v>421</v>
      </c>
    </row>
    <row r="13" spans="1:8" ht="39.950000000000003" customHeight="1" thickTop="1" thickBot="1" x14ac:dyDescent="0.45">
      <c r="A13" s="133" t="s">
        <v>151</v>
      </c>
      <c r="B13" s="103" t="s">
        <v>974</v>
      </c>
      <c r="C13" s="140" t="s">
        <v>422</v>
      </c>
      <c r="D13" s="96" t="s">
        <v>873</v>
      </c>
      <c r="E13" s="38" t="s">
        <v>423</v>
      </c>
      <c r="F13" s="141" t="s">
        <v>1020</v>
      </c>
      <c r="G13" s="98" t="s">
        <v>424</v>
      </c>
      <c r="H13" s="101" t="s">
        <v>425</v>
      </c>
    </row>
    <row r="14" spans="1:8" ht="39.950000000000003" customHeight="1" thickTop="1" thickBot="1" x14ac:dyDescent="0.45">
      <c r="A14" s="132" t="s">
        <v>958</v>
      </c>
      <c r="B14" s="103" t="s">
        <v>975</v>
      </c>
      <c r="C14" s="140" t="s">
        <v>426</v>
      </c>
      <c r="D14" s="96" t="s">
        <v>830</v>
      </c>
      <c r="E14" s="38" t="s">
        <v>427</v>
      </c>
      <c r="F14" s="141" t="s">
        <v>1021</v>
      </c>
      <c r="G14" s="98" t="s">
        <v>428</v>
      </c>
      <c r="H14" s="101" t="s">
        <v>429</v>
      </c>
    </row>
    <row r="15" spans="1:8" ht="39.950000000000003" customHeight="1" thickTop="1" thickBot="1" x14ac:dyDescent="0.45">
      <c r="A15" s="132" t="s">
        <v>959</v>
      </c>
      <c r="B15" s="103" t="s">
        <v>976</v>
      </c>
      <c r="C15" s="140" t="s">
        <v>430</v>
      </c>
      <c r="D15" s="96" t="s">
        <v>996</v>
      </c>
      <c r="E15" s="63" t="s">
        <v>431</v>
      </c>
      <c r="F15" s="141" t="s">
        <v>1022</v>
      </c>
      <c r="G15" s="98" t="s">
        <v>394</v>
      </c>
      <c r="H15" s="101" t="s">
        <v>432</v>
      </c>
    </row>
    <row r="16" spans="1:8" ht="39.950000000000003" customHeight="1" thickTop="1" thickBot="1" x14ac:dyDescent="0.45">
      <c r="A16" s="132" t="s">
        <v>960</v>
      </c>
      <c r="B16" s="103" t="s">
        <v>977</v>
      </c>
      <c r="C16" s="140" t="s">
        <v>416</v>
      </c>
      <c r="D16" s="96" t="s">
        <v>997</v>
      </c>
      <c r="E16" s="38" t="s">
        <v>703</v>
      </c>
      <c r="F16" s="141" t="s">
        <v>1011</v>
      </c>
      <c r="G16" s="98" t="s">
        <v>433</v>
      </c>
      <c r="H16" s="101" t="s">
        <v>434</v>
      </c>
    </row>
    <row r="17" spans="1:8" ht="39.950000000000003" customHeight="1" thickTop="1" thickBot="1" x14ac:dyDescent="0.45">
      <c r="A17" s="134" t="s">
        <v>155</v>
      </c>
      <c r="B17" s="103" t="s">
        <v>976</v>
      </c>
      <c r="C17" s="140" t="s">
        <v>435</v>
      </c>
      <c r="D17" s="96" t="s">
        <v>996</v>
      </c>
      <c r="E17" s="38" t="s">
        <v>436</v>
      </c>
      <c r="F17" s="141" t="s">
        <v>1023</v>
      </c>
      <c r="G17" s="98" t="s">
        <v>437</v>
      </c>
      <c r="H17" s="101" t="s">
        <v>438</v>
      </c>
    </row>
    <row r="18" spans="1:8" ht="39.950000000000003" customHeight="1" thickTop="1" thickBot="1" x14ac:dyDescent="0.45">
      <c r="A18" s="132" t="s">
        <v>961</v>
      </c>
      <c r="B18" s="103" t="s">
        <v>971</v>
      </c>
      <c r="C18" s="140" t="s">
        <v>416</v>
      </c>
      <c r="D18" s="96" t="s">
        <v>993</v>
      </c>
      <c r="E18" s="38" t="s">
        <v>674</v>
      </c>
      <c r="F18" s="141" t="s">
        <v>1024</v>
      </c>
      <c r="G18" s="98" t="s">
        <v>437</v>
      </c>
      <c r="H18" s="101" t="s">
        <v>439</v>
      </c>
    </row>
    <row r="19" spans="1:8" ht="39.950000000000003" customHeight="1" thickTop="1" thickBot="1" x14ac:dyDescent="0.45">
      <c r="A19" s="133" t="s">
        <v>157</v>
      </c>
      <c r="B19" s="103" t="s">
        <v>971</v>
      </c>
      <c r="C19" s="140" t="s">
        <v>407</v>
      </c>
      <c r="D19" s="96" t="s">
        <v>993</v>
      </c>
      <c r="E19" s="38" t="s">
        <v>675</v>
      </c>
      <c r="F19" s="141" t="s">
        <v>1025</v>
      </c>
      <c r="G19" s="98" t="s">
        <v>440</v>
      </c>
      <c r="H19" s="101" t="s">
        <v>441</v>
      </c>
    </row>
    <row r="20" spans="1:8" ht="39.950000000000003" customHeight="1" thickTop="1" thickBot="1" x14ac:dyDescent="0.45">
      <c r="A20" s="135" t="s">
        <v>442</v>
      </c>
      <c r="B20" s="103" t="s">
        <v>978</v>
      </c>
      <c r="C20" s="140" t="s">
        <v>443</v>
      </c>
      <c r="D20" s="96" t="s">
        <v>824</v>
      </c>
      <c r="E20" s="38" t="s">
        <v>444</v>
      </c>
      <c r="F20" s="141" t="s">
        <v>1026</v>
      </c>
      <c r="G20" s="99" t="s">
        <v>409</v>
      </c>
      <c r="H20" s="101" t="s">
        <v>445</v>
      </c>
    </row>
    <row r="21" spans="1:8" ht="39.950000000000003" customHeight="1" thickTop="1" thickBot="1" x14ac:dyDescent="0.45">
      <c r="A21" s="135" t="s">
        <v>446</v>
      </c>
      <c r="B21" s="103" t="s">
        <v>979</v>
      </c>
      <c r="C21" s="140" t="s">
        <v>447</v>
      </c>
      <c r="D21" s="96" t="s">
        <v>814</v>
      </c>
      <c r="E21" s="63" t="s">
        <v>448</v>
      </c>
      <c r="F21" s="141" t="s">
        <v>1027</v>
      </c>
      <c r="G21" s="99" t="s">
        <v>409</v>
      </c>
      <c r="H21" s="101" t="s">
        <v>449</v>
      </c>
    </row>
    <row r="22" spans="1:8" ht="39.950000000000003" customHeight="1" thickTop="1" thickBot="1" x14ac:dyDescent="0.45">
      <c r="A22" s="134" t="s">
        <v>158</v>
      </c>
      <c r="B22" s="103" t="s">
        <v>906</v>
      </c>
      <c r="C22" s="140" t="s">
        <v>450</v>
      </c>
      <c r="D22" s="96" t="s">
        <v>804</v>
      </c>
      <c r="E22" s="38" t="s">
        <v>451</v>
      </c>
      <c r="F22" s="141" t="s">
        <v>1028</v>
      </c>
      <c r="G22" s="98" t="s">
        <v>452</v>
      </c>
      <c r="H22" s="101" t="s">
        <v>453</v>
      </c>
    </row>
    <row r="23" spans="1:8" ht="39.950000000000003" customHeight="1" thickTop="1" thickBot="1" x14ac:dyDescent="0.45">
      <c r="A23" s="132" t="s">
        <v>962</v>
      </c>
      <c r="B23" s="103" t="s">
        <v>980</v>
      </c>
      <c r="C23" s="140" t="s">
        <v>450</v>
      </c>
      <c r="D23" s="96" t="s">
        <v>804</v>
      </c>
      <c r="E23" s="38" t="s">
        <v>454</v>
      </c>
      <c r="F23" s="141" t="s">
        <v>1022</v>
      </c>
      <c r="G23" s="98" t="s">
        <v>455</v>
      </c>
      <c r="H23" s="101" t="s">
        <v>456</v>
      </c>
    </row>
    <row r="24" spans="1:8" ht="39.950000000000003" customHeight="1" thickTop="1" thickBot="1" x14ac:dyDescent="0.45">
      <c r="A24" s="135" t="s">
        <v>457</v>
      </c>
      <c r="B24" s="103" t="s">
        <v>906</v>
      </c>
      <c r="C24" s="140" t="s">
        <v>450</v>
      </c>
      <c r="D24" s="96" t="s">
        <v>806</v>
      </c>
      <c r="E24" s="38" t="s">
        <v>458</v>
      </c>
      <c r="F24" s="141" t="s">
        <v>1013</v>
      </c>
      <c r="G24" s="99" t="s">
        <v>409</v>
      </c>
      <c r="H24" s="101" t="s">
        <v>459</v>
      </c>
    </row>
    <row r="25" spans="1:8" ht="39.950000000000003" customHeight="1" thickTop="1" thickBot="1" x14ac:dyDescent="0.45">
      <c r="A25" s="132" t="s">
        <v>963</v>
      </c>
      <c r="B25" s="103" t="s">
        <v>907</v>
      </c>
      <c r="C25" s="140" t="s">
        <v>460</v>
      </c>
      <c r="D25" s="96" t="s">
        <v>927</v>
      </c>
      <c r="E25" s="63" t="s">
        <v>461</v>
      </c>
      <c r="F25" s="141" t="s">
        <v>1029</v>
      </c>
      <c r="G25" s="98" t="s">
        <v>462</v>
      </c>
      <c r="H25" s="101" t="s">
        <v>463</v>
      </c>
    </row>
    <row r="26" spans="1:8" ht="39.950000000000003" customHeight="1" thickTop="1" thickBot="1" x14ac:dyDescent="0.45">
      <c r="A26" s="133" t="s">
        <v>464</v>
      </c>
      <c r="B26" s="103" t="s">
        <v>905</v>
      </c>
      <c r="C26" s="140" t="s">
        <v>460</v>
      </c>
      <c r="D26" s="96" t="s">
        <v>927</v>
      </c>
      <c r="E26" s="63" t="s">
        <v>465</v>
      </c>
      <c r="F26" s="141" t="s">
        <v>1030</v>
      </c>
      <c r="G26" s="98" t="s">
        <v>437</v>
      </c>
      <c r="H26" s="101" t="s">
        <v>466</v>
      </c>
    </row>
    <row r="27" spans="1:8" ht="39.950000000000003" customHeight="1" thickTop="1" thickBot="1" x14ac:dyDescent="0.45">
      <c r="A27" s="132" t="s">
        <v>964</v>
      </c>
      <c r="B27" s="103" t="s">
        <v>981</v>
      </c>
      <c r="C27" s="140" t="s">
        <v>467</v>
      </c>
      <c r="D27" s="64" t="s">
        <v>1000</v>
      </c>
      <c r="E27" s="38" t="s">
        <v>468</v>
      </c>
      <c r="F27" s="141" t="s">
        <v>1031</v>
      </c>
      <c r="G27" s="98" t="s">
        <v>404</v>
      </c>
      <c r="H27" s="101" t="s">
        <v>469</v>
      </c>
    </row>
    <row r="28" spans="1:8" ht="39.950000000000003" customHeight="1" thickTop="1" thickBot="1" x14ac:dyDescent="0.45">
      <c r="A28" s="133" t="s">
        <v>470</v>
      </c>
      <c r="B28" s="103" t="s">
        <v>982</v>
      </c>
      <c r="C28" s="140" t="s">
        <v>430</v>
      </c>
      <c r="D28" s="64" t="s">
        <v>1001</v>
      </c>
      <c r="E28" s="63" t="s">
        <v>471</v>
      </c>
      <c r="F28" s="141" t="s">
        <v>1032</v>
      </c>
      <c r="G28" s="98" t="s">
        <v>404</v>
      </c>
      <c r="H28" s="101" t="s">
        <v>472</v>
      </c>
    </row>
    <row r="29" spans="1:8" ht="39.950000000000003" customHeight="1" thickTop="1" thickBot="1" x14ac:dyDescent="0.45">
      <c r="A29" s="133" t="s">
        <v>160</v>
      </c>
      <c r="B29" s="103" t="s">
        <v>983</v>
      </c>
      <c r="C29" s="140" t="s">
        <v>422</v>
      </c>
      <c r="D29" s="64" t="s">
        <v>1002</v>
      </c>
      <c r="E29" s="63" t="s">
        <v>473</v>
      </c>
      <c r="F29" s="141" t="s">
        <v>1033</v>
      </c>
      <c r="G29" s="98" t="s">
        <v>390</v>
      </c>
      <c r="H29" s="101" t="s">
        <v>474</v>
      </c>
    </row>
    <row r="30" spans="1:8" ht="39.950000000000003" customHeight="1" thickTop="1" thickBot="1" x14ac:dyDescent="0.45">
      <c r="A30" s="135" t="s">
        <v>475</v>
      </c>
      <c r="B30" s="103" t="s">
        <v>971</v>
      </c>
      <c r="C30" s="140" t="s">
        <v>407</v>
      </c>
      <c r="D30" s="96" t="s">
        <v>993</v>
      </c>
      <c r="E30" s="38" t="s">
        <v>676</v>
      </c>
      <c r="F30" s="141" t="s">
        <v>1034</v>
      </c>
      <c r="G30" s="99" t="s">
        <v>476</v>
      </c>
      <c r="H30" s="101" t="s">
        <v>477</v>
      </c>
    </row>
    <row r="31" spans="1:8" ht="39.950000000000003" customHeight="1" thickTop="1" thickBot="1" x14ac:dyDescent="0.45">
      <c r="A31" s="132" t="s">
        <v>965</v>
      </c>
      <c r="B31" s="103" t="s">
        <v>905</v>
      </c>
      <c r="C31" s="140" t="s">
        <v>460</v>
      </c>
      <c r="D31" s="64" t="s">
        <v>1003</v>
      </c>
      <c r="E31" s="63" t="s">
        <v>478</v>
      </c>
      <c r="F31" s="141" t="s">
        <v>1035</v>
      </c>
      <c r="G31" s="98" t="s">
        <v>479</v>
      </c>
      <c r="H31" s="101" t="s">
        <v>480</v>
      </c>
    </row>
    <row r="32" spans="1:8" ht="39.950000000000003" customHeight="1" thickTop="1" thickBot="1" x14ac:dyDescent="0.45">
      <c r="A32" s="134" t="s">
        <v>162</v>
      </c>
      <c r="B32" s="103" t="s">
        <v>983</v>
      </c>
      <c r="C32" s="140" t="s">
        <v>422</v>
      </c>
      <c r="D32" s="64" t="s">
        <v>1004</v>
      </c>
      <c r="E32" s="63" t="s">
        <v>473</v>
      </c>
      <c r="F32" s="141" t="s">
        <v>1022</v>
      </c>
      <c r="G32" s="98" t="s">
        <v>481</v>
      </c>
      <c r="H32" s="101" t="s">
        <v>482</v>
      </c>
    </row>
    <row r="33" spans="1:8" ht="39.950000000000003" customHeight="1" thickTop="1" thickBot="1" x14ac:dyDescent="0.45">
      <c r="A33" s="133" t="s">
        <v>163</v>
      </c>
      <c r="B33" s="103" t="s">
        <v>983</v>
      </c>
      <c r="C33" s="140" t="s">
        <v>422</v>
      </c>
      <c r="D33" s="96" t="s">
        <v>870</v>
      </c>
      <c r="E33" s="63" t="s">
        <v>483</v>
      </c>
      <c r="F33" s="141" t="s">
        <v>1036</v>
      </c>
      <c r="G33" s="98" t="s">
        <v>484</v>
      </c>
      <c r="H33" s="101" t="s">
        <v>485</v>
      </c>
    </row>
    <row r="34" spans="1:8" ht="39.950000000000003" customHeight="1" thickTop="1" thickBot="1" x14ac:dyDescent="0.45">
      <c r="A34" s="133" t="s">
        <v>486</v>
      </c>
      <c r="B34" s="103" t="s">
        <v>983</v>
      </c>
      <c r="C34" s="140" t="s">
        <v>422</v>
      </c>
      <c r="D34" s="96" t="s">
        <v>870</v>
      </c>
      <c r="E34" s="63" t="s">
        <v>487</v>
      </c>
      <c r="F34" s="141" t="s">
        <v>1037</v>
      </c>
      <c r="G34" s="98" t="s">
        <v>488</v>
      </c>
      <c r="H34" s="101" t="s">
        <v>489</v>
      </c>
    </row>
    <row r="35" spans="1:8" ht="39.950000000000003" customHeight="1" thickTop="1" thickBot="1" x14ac:dyDescent="0.45">
      <c r="A35" s="134" t="s">
        <v>490</v>
      </c>
      <c r="B35" s="103" t="s">
        <v>983</v>
      </c>
      <c r="C35" s="140" t="s">
        <v>491</v>
      </c>
      <c r="D35" s="96" t="s">
        <v>875</v>
      </c>
      <c r="E35" s="38" t="s">
        <v>492</v>
      </c>
      <c r="F35" s="141" t="s">
        <v>1038</v>
      </c>
      <c r="G35" s="98" t="s">
        <v>493</v>
      </c>
      <c r="H35" s="101" t="s">
        <v>494</v>
      </c>
    </row>
    <row r="36" spans="1:8" ht="39.950000000000003" customHeight="1" thickTop="1" thickBot="1" x14ac:dyDescent="0.45">
      <c r="A36" s="133" t="s">
        <v>170</v>
      </c>
      <c r="B36" s="103" t="s">
        <v>984</v>
      </c>
      <c r="C36" s="140" t="s">
        <v>495</v>
      </c>
      <c r="D36" s="96" t="s">
        <v>812</v>
      </c>
      <c r="E36" s="63" t="s">
        <v>496</v>
      </c>
      <c r="F36" s="141" t="s">
        <v>1039</v>
      </c>
      <c r="G36" s="98" t="s">
        <v>497</v>
      </c>
      <c r="H36" s="101" t="s">
        <v>498</v>
      </c>
    </row>
    <row r="37" spans="1:8" ht="39.950000000000003" customHeight="1" thickTop="1" thickBot="1" x14ac:dyDescent="0.45">
      <c r="A37" s="133" t="s">
        <v>171</v>
      </c>
      <c r="B37" s="103" t="s">
        <v>985</v>
      </c>
      <c r="C37" s="140" t="s">
        <v>499</v>
      </c>
      <c r="D37" s="96" t="s">
        <v>1005</v>
      </c>
      <c r="E37" s="38" t="s">
        <v>500</v>
      </c>
      <c r="F37" s="141" t="s">
        <v>1022</v>
      </c>
      <c r="G37" s="98" t="s">
        <v>501</v>
      </c>
      <c r="H37" s="101" t="s">
        <v>502</v>
      </c>
    </row>
    <row r="38" spans="1:8" ht="39.950000000000003" customHeight="1" thickTop="1" thickBot="1" x14ac:dyDescent="0.45">
      <c r="A38" s="132" t="s">
        <v>966</v>
      </c>
      <c r="B38" s="103" t="s">
        <v>913</v>
      </c>
      <c r="C38" s="140" t="s">
        <v>503</v>
      </c>
      <c r="D38" s="96" t="s">
        <v>800</v>
      </c>
      <c r="E38" s="38" t="s">
        <v>537</v>
      </c>
      <c r="F38" s="141" t="s">
        <v>1040</v>
      </c>
      <c r="G38" s="98" t="s">
        <v>504</v>
      </c>
      <c r="H38" s="101" t="s">
        <v>505</v>
      </c>
    </row>
    <row r="39" spans="1:8" ht="39.950000000000003" customHeight="1" thickTop="1" thickBot="1" x14ac:dyDescent="0.45">
      <c r="A39" s="133" t="s">
        <v>173</v>
      </c>
      <c r="B39" s="103" t="s">
        <v>986</v>
      </c>
      <c r="C39" s="140" t="s">
        <v>506</v>
      </c>
      <c r="D39" s="96" t="s">
        <v>877</v>
      </c>
      <c r="E39" s="63" t="s">
        <v>507</v>
      </c>
      <c r="F39" s="141" t="s">
        <v>1041</v>
      </c>
      <c r="G39" s="98" t="s">
        <v>508</v>
      </c>
      <c r="H39" s="101" t="s">
        <v>509</v>
      </c>
    </row>
    <row r="40" spans="1:8" ht="39.950000000000003" customHeight="1" thickTop="1" thickBot="1" x14ac:dyDescent="0.45">
      <c r="A40" s="133" t="s">
        <v>510</v>
      </c>
      <c r="B40" s="103" t="s">
        <v>987</v>
      </c>
      <c r="C40" s="140" t="s">
        <v>511</v>
      </c>
      <c r="D40" s="64" t="s">
        <v>1006</v>
      </c>
      <c r="E40" s="63" t="s">
        <v>707</v>
      </c>
      <c r="F40" s="141" t="s">
        <v>1036</v>
      </c>
      <c r="G40" s="98" t="s">
        <v>512</v>
      </c>
      <c r="H40" s="101" t="s">
        <v>513</v>
      </c>
    </row>
    <row r="41" spans="1:8" ht="39.950000000000003" customHeight="1" thickTop="1" thickBot="1" x14ac:dyDescent="0.45">
      <c r="A41" s="133" t="s">
        <v>174</v>
      </c>
      <c r="B41" s="103" t="s">
        <v>907</v>
      </c>
      <c r="C41" s="140" t="s">
        <v>460</v>
      </c>
      <c r="D41" s="64" t="s">
        <v>1007</v>
      </c>
      <c r="E41" s="63" t="s">
        <v>478</v>
      </c>
      <c r="F41" s="141" t="s">
        <v>1011</v>
      </c>
      <c r="G41" s="98" t="s">
        <v>514</v>
      </c>
      <c r="H41" s="101" t="s">
        <v>515</v>
      </c>
    </row>
    <row r="42" spans="1:8" ht="39.950000000000003" customHeight="1" thickTop="1" thickBot="1" x14ac:dyDescent="0.45">
      <c r="A42" s="132" t="s">
        <v>967</v>
      </c>
      <c r="B42" s="103" t="s">
        <v>988</v>
      </c>
      <c r="C42" s="140" t="s">
        <v>516</v>
      </c>
      <c r="D42" s="96" t="s">
        <v>802</v>
      </c>
      <c r="E42" s="63" t="s">
        <v>517</v>
      </c>
      <c r="F42" s="141" t="s">
        <v>1014</v>
      </c>
      <c r="G42" s="98" t="s">
        <v>518</v>
      </c>
      <c r="H42" s="101" t="s">
        <v>519</v>
      </c>
    </row>
    <row r="43" spans="1:8" ht="39.950000000000003" customHeight="1" thickTop="1" thickBot="1" x14ac:dyDescent="0.45">
      <c r="A43" s="133" t="s">
        <v>520</v>
      </c>
      <c r="B43" s="103" t="s">
        <v>988</v>
      </c>
      <c r="C43" s="140" t="s">
        <v>521</v>
      </c>
      <c r="D43" s="96" t="s">
        <v>800</v>
      </c>
      <c r="E43" s="63" t="s">
        <v>522</v>
      </c>
      <c r="F43" s="141" t="s">
        <v>1042</v>
      </c>
      <c r="G43" s="98" t="s">
        <v>523</v>
      </c>
      <c r="H43" s="101" t="s">
        <v>524</v>
      </c>
    </row>
    <row r="44" spans="1:8" ht="39.950000000000003" customHeight="1" thickTop="1" thickBot="1" x14ac:dyDescent="0.45">
      <c r="A44" s="133" t="s">
        <v>525</v>
      </c>
      <c r="B44" s="103" t="s">
        <v>907</v>
      </c>
      <c r="C44" s="140" t="s">
        <v>460</v>
      </c>
      <c r="D44" s="96" t="s">
        <v>999</v>
      </c>
      <c r="E44" s="63" t="s">
        <v>526</v>
      </c>
      <c r="F44" s="141" t="s">
        <v>1043</v>
      </c>
      <c r="G44" s="98" t="s">
        <v>527</v>
      </c>
      <c r="H44" s="101" t="s">
        <v>528</v>
      </c>
    </row>
    <row r="45" spans="1:8" ht="39.950000000000003" customHeight="1" thickTop="1" thickBot="1" x14ac:dyDescent="0.45">
      <c r="A45" s="136" t="s">
        <v>529</v>
      </c>
      <c r="B45" s="103" t="s">
        <v>989</v>
      </c>
      <c r="C45" s="140" t="s">
        <v>530</v>
      </c>
      <c r="D45" s="96" t="s">
        <v>879</v>
      </c>
      <c r="E45" s="38" t="s">
        <v>531</v>
      </c>
      <c r="F45" s="141" t="s">
        <v>1044</v>
      </c>
      <c r="G45" s="98" t="s">
        <v>532</v>
      </c>
      <c r="H45" s="101" t="s">
        <v>533</v>
      </c>
    </row>
    <row r="46" spans="1:8" ht="39.950000000000003" customHeight="1" thickTop="1" thickBot="1" x14ac:dyDescent="0.45">
      <c r="A46" s="133" t="s">
        <v>177</v>
      </c>
      <c r="B46" s="103" t="s">
        <v>987</v>
      </c>
      <c r="C46" s="140" t="s">
        <v>534</v>
      </c>
      <c r="D46" s="96" t="s">
        <v>996</v>
      </c>
      <c r="E46" s="38" t="s">
        <v>535</v>
      </c>
      <c r="F46" s="141" t="s">
        <v>1045</v>
      </c>
      <c r="G46" s="98" t="s">
        <v>424</v>
      </c>
      <c r="H46" s="101" t="s">
        <v>536</v>
      </c>
    </row>
    <row r="47" spans="1:8" ht="39.950000000000003" customHeight="1" thickTop="1" thickBot="1" x14ac:dyDescent="0.45">
      <c r="A47" s="132" t="s">
        <v>968</v>
      </c>
      <c r="B47" s="103" t="s">
        <v>913</v>
      </c>
      <c r="C47" s="140" t="s">
        <v>503</v>
      </c>
      <c r="D47" s="64" t="s">
        <v>1008</v>
      </c>
      <c r="E47" s="38" t="s">
        <v>537</v>
      </c>
      <c r="F47" s="141" t="s">
        <v>1042</v>
      </c>
      <c r="G47" s="98" t="s">
        <v>437</v>
      </c>
      <c r="H47" s="101" t="s">
        <v>538</v>
      </c>
    </row>
    <row r="48" spans="1:8" ht="39.950000000000003" customHeight="1" thickTop="1" thickBot="1" x14ac:dyDescent="0.45">
      <c r="A48" s="133" t="s">
        <v>539</v>
      </c>
      <c r="B48" s="103" t="s">
        <v>990</v>
      </c>
      <c r="C48" s="140" t="s">
        <v>506</v>
      </c>
      <c r="D48" s="96" t="s">
        <v>881</v>
      </c>
      <c r="E48" s="38" t="s">
        <v>540</v>
      </c>
      <c r="F48" s="141" t="s">
        <v>1046</v>
      </c>
      <c r="G48" s="98" t="s">
        <v>541</v>
      </c>
      <c r="H48" s="101" t="s">
        <v>542</v>
      </c>
    </row>
    <row r="49" spans="1:8" ht="39.950000000000003" customHeight="1" thickTop="1" thickBot="1" x14ac:dyDescent="0.45">
      <c r="A49" s="133" t="s">
        <v>543</v>
      </c>
      <c r="B49" s="103" t="s">
        <v>986</v>
      </c>
      <c r="C49" s="140" t="s">
        <v>506</v>
      </c>
      <c r="D49" s="96" t="s">
        <v>881</v>
      </c>
      <c r="E49" s="38" t="s">
        <v>544</v>
      </c>
      <c r="F49" s="141" t="s">
        <v>1047</v>
      </c>
      <c r="G49" s="98" t="s">
        <v>404</v>
      </c>
      <c r="H49" s="101" t="s">
        <v>545</v>
      </c>
    </row>
    <row r="50" spans="1:8" ht="39.950000000000003" customHeight="1" thickTop="1" thickBot="1" x14ac:dyDescent="0.45">
      <c r="A50" s="133" t="s">
        <v>546</v>
      </c>
      <c r="B50" s="103" t="s">
        <v>990</v>
      </c>
      <c r="C50" s="140" t="s">
        <v>506</v>
      </c>
      <c r="D50" s="96" t="s">
        <v>881</v>
      </c>
      <c r="E50" s="38" t="s">
        <v>547</v>
      </c>
      <c r="F50" s="141" t="s">
        <v>1042</v>
      </c>
      <c r="G50" s="98" t="s">
        <v>424</v>
      </c>
      <c r="H50" s="101" t="s">
        <v>548</v>
      </c>
    </row>
    <row r="51" spans="1:8" ht="39.950000000000003" customHeight="1" thickTop="1" thickBot="1" x14ac:dyDescent="0.45">
      <c r="A51" s="133" t="s">
        <v>549</v>
      </c>
      <c r="B51" s="103" t="s">
        <v>919</v>
      </c>
      <c r="C51" s="140" t="s">
        <v>550</v>
      </c>
      <c r="D51" s="96" t="s">
        <v>802</v>
      </c>
      <c r="E51" s="38" t="s">
        <v>551</v>
      </c>
      <c r="F51" s="141" t="s">
        <v>1014</v>
      </c>
      <c r="G51" s="98" t="s">
        <v>552</v>
      </c>
      <c r="H51" s="101" t="s">
        <v>553</v>
      </c>
    </row>
    <row r="52" spans="1:8" ht="39.950000000000003" customHeight="1" thickTop="1" thickBot="1" x14ac:dyDescent="0.45">
      <c r="A52" s="137" t="s">
        <v>554</v>
      </c>
      <c r="B52" s="103" t="s">
        <v>991</v>
      </c>
      <c r="C52" s="140" t="s">
        <v>467</v>
      </c>
      <c r="D52" s="97" t="s">
        <v>824</v>
      </c>
      <c r="E52" s="38" t="s">
        <v>500</v>
      </c>
      <c r="F52" s="142" t="s">
        <v>1048</v>
      </c>
      <c r="G52" s="100" t="s">
        <v>555</v>
      </c>
      <c r="H52" s="102" t="s">
        <v>556</v>
      </c>
    </row>
    <row r="53" spans="1:8" ht="39.950000000000003" customHeight="1" thickTop="1" thickBot="1" x14ac:dyDescent="0.45">
      <c r="A53" s="138" t="s">
        <v>557</v>
      </c>
      <c r="B53" s="103" t="s">
        <v>905</v>
      </c>
      <c r="C53" s="140" t="s">
        <v>460</v>
      </c>
      <c r="D53" s="96" t="s">
        <v>834</v>
      </c>
      <c r="E53" s="38" t="s">
        <v>558</v>
      </c>
      <c r="F53" s="141" t="s">
        <v>1049</v>
      </c>
      <c r="G53" s="98" t="s">
        <v>390</v>
      </c>
      <c r="H53" s="101" t="s">
        <v>559</v>
      </c>
    </row>
    <row r="54" spans="1:8" ht="39.950000000000003" customHeight="1" thickTop="1" thickBot="1" x14ac:dyDescent="0.45">
      <c r="A54" s="132" t="s">
        <v>969</v>
      </c>
      <c r="B54" s="103" t="s">
        <v>987</v>
      </c>
      <c r="C54" s="140" t="s">
        <v>561</v>
      </c>
      <c r="D54" s="96" t="s">
        <v>998</v>
      </c>
      <c r="E54" s="63" t="s">
        <v>562</v>
      </c>
      <c r="F54" s="141" t="s">
        <v>1011</v>
      </c>
      <c r="G54" s="98" t="s">
        <v>563</v>
      </c>
      <c r="H54" s="101" t="s">
        <v>564</v>
      </c>
    </row>
    <row r="55" spans="1:8" ht="39.950000000000003" customHeight="1" thickTop="1" thickBot="1" x14ac:dyDescent="0.45">
      <c r="A55" s="133" t="s">
        <v>565</v>
      </c>
      <c r="B55" s="103" t="s">
        <v>987</v>
      </c>
      <c r="C55" s="140" t="s">
        <v>566</v>
      </c>
      <c r="D55" s="96" t="s">
        <v>998</v>
      </c>
      <c r="E55" s="38" t="s">
        <v>535</v>
      </c>
      <c r="F55" s="141" t="s">
        <v>1050</v>
      </c>
      <c r="G55" s="98" t="s">
        <v>527</v>
      </c>
      <c r="H55" s="101" t="s">
        <v>567</v>
      </c>
    </row>
    <row r="56" spans="1:8" ht="14.25" thickTop="1" x14ac:dyDescent="0.4"/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3C4F-46DD-4B67-9384-3238FA2023CC}">
  <dimension ref="A1:K52"/>
  <sheetViews>
    <sheetView zoomScale="70" zoomScaleNormal="70" workbookViewId="0">
      <selection activeCell="A19" sqref="A19"/>
    </sheetView>
  </sheetViews>
  <sheetFormatPr defaultRowHeight="13.9" x14ac:dyDescent="0.4"/>
  <cols>
    <col min="1" max="1" width="51.06640625" customWidth="1"/>
    <col min="2" max="2" width="29.33203125" customWidth="1"/>
    <col min="3" max="3" width="17.6640625" customWidth="1"/>
    <col min="4" max="5" width="15.59765625" customWidth="1"/>
    <col min="6" max="6" width="19.33203125" customWidth="1"/>
    <col min="7" max="11" width="15.59765625" customWidth="1"/>
  </cols>
  <sheetData>
    <row r="1" spans="1:11" ht="100.5" customHeight="1" x14ac:dyDescent="0.4">
      <c r="A1" s="34" t="s">
        <v>885</v>
      </c>
      <c r="B1" s="35" t="s">
        <v>194</v>
      </c>
      <c r="C1" s="35" t="s">
        <v>195</v>
      </c>
      <c r="D1" s="35" t="s">
        <v>196</v>
      </c>
      <c r="E1" s="35" t="s">
        <v>197</v>
      </c>
      <c r="F1" s="35" t="s">
        <v>198</v>
      </c>
      <c r="G1" s="35" t="s">
        <v>199</v>
      </c>
      <c r="H1" s="35" t="s">
        <v>200</v>
      </c>
      <c r="I1" s="35" t="s">
        <v>201</v>
      </c>
      <c r="J1" s="35" t="s">
        <v>202</v>
      </c>
      <c r="K1" s="35" t="s">
        <v>203</v>
      </c>
    </row>
    <row r="2" spans="1:11" ht="20.100000000000001" customHeight="1" x14ac:dyDescent="0.4">
      <c r="A2" s="145" t="s">
        <v>790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</row>
    <row r="3" spans="1:11" ht="20.100000000000001" customHeight="1" x14ac:dyDescent="0.4">
      <c r="A3" s="36" t="s">
        <v>797</v>
      </c>
      <c r="B3" s="41" t="s">
        <v>240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ht="20.100000000000001" customHeight="1" x14ac:dyDescent="0.4">
      <c r="A4" s="36" t="s">
        <v>799</v>
      </c>
      <c r="B4" s="41" t="s">
        <v>241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ht="20.100000000000001" customHeight="1" x14ac:dyDescent="0.4">
      <c r="A5" s="36" t="s">
        <v>801</v>
      </c>
      <c r="B5" s="37"/>
      <c r="C5" s="37"/>
      <c r="D5" s="38" t="s">
        <v>204</v>
      </c>
      <c r="E5" s="38" t="s">
        <v>242</v>
      </c>
      <c r="F5" s="37"/>
      <c r="G5" s="37"/>
      <c r="H5" s="37"/>
      <c r="I5" s="37"/>
      <c r="J5" s="37"/>
      <c r="K5" s="37"/>
    </row>
    <row r="6" spans="1:11" ht="20.100000000000001" customHeight="1" x14ac:dyDescent="0.4">
      <c r="A6" s="36" t="s">
        <v>803</v>
      </c>
      <c r="B6" s="37"/>
      <c r="C6" s="37"/>
      <c r="D6" s="38" t="s">
        <v>243</v>
      </c>
      <c r="E6" s="38" t="s">
        <v>244</v>
      </c>
      <c r="F6" s="38" t="s">
        <v>245</v>
      </c>
      <c r="G6" s="37"/>
      <c r="H6" s="37"/>
      <c r="I6" s="37"/>
      <c r="J6" s="37"/>
      <c r="K6" s="37"/>
    </row>
    <row r="7" spans="1:11" ht="20.100000000000001" customHeight="1" x14ac:dyDescent="0.4">
      <c r="A7" s="36" t="s">
        <v>805</v>
      </c>
      <c r="B7" s="41" t="s">
        <v>206</v>
      </c>
      <c r="C7" s="37"/>
      <c r="D7" s="37"/>
      <c r="E7" s="37"/>
      <c r="F7" s="37"/>
      <c r="G7" s="37"/>
      <c r="H7" s="37"/>
      <c r="I7" s="37"/>
      <c r="J7" s="37"/>
      <c r="K7" s="37"/>
    </row>
    <row r="8" spans="1:11" ht="20.100000000000001" customHeight="1" x14ac:dyDescent="0.4">
      <c r="A8" s="36" t="s">
        <v>807</v>
      </c>
      <c r="B8" s="41" t="s">
        <v>246</v>
      </c>
      <c r="C8" s="37"/>
      <c r="D8" s="37"/>
      <c r="E8" s="37"/>
      <c r="F8" s="37"/>
      <c r="G8" s="37"/>
      <c r="H8" s="37"/>
      <c r="I8" s="37"/>
      <c r="J8" s="37"/>
      <c r="K8" s="37"/>
    </row>
    <row r="9" spans="1:11" ht="20.100000000000001" customHeight="1" x14ac:dyDescent="0.4">
      <c r="A9" s="36" t="s">
        <v>809</v>
      </c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20.100000000000001" customHeight="1" x14ac:dyDescent="0.4">
      <c r="A10" s="36" t="s">
        <v>811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0.100000000000001" customHeight="1" x14ac:dyDescent="0.4">
      <c r="A11" s="36" t="s">
        <v>813</v>
      </c>
      <c r="B11" s="37"/>
      <c r="C11" s="37"/>
      <c r="D11" s="37"/>
      <c r="E11" s="37"/>
      <c r="F11" s="37"/>
      <c r="G11" s="39" t="s">
        <v>247</v>
      </c>
      <c r="H11" s="39" t="s">
        <v>248</v>
      </c>
      <c r="I11" s="37"/>
      <c r="J11" s="37"/>
      <c r="K11" s="37"/>
    </row>
    <row r="12" spans="1:11" ht="20.100000000000001" customHeight="1" x14ac:dyDescent="0.4">
      <c r="A12" s="36" t="s">
        <v>815</v>
      </c>
      <c r="B12" s="39" t="s">
        <v>249</v>
      </c>
      <c r="C12" s="39" t="s">
        <v>250</v>
      </c>
      <c r="D12" s="39" t="s">
        <v>270</v>
      </c>
      <c r="E12" s="37"/>
      <c r="F12" s="37"/>
      <c r="G12" s="37"/>
      <c r="H12" s="37"/>
      <c r="I12" s="37"/>
      <c r="J12" s="37"/>
      <c r="K12" s="37"/>
    </row>
    <row r="13" spans="1:11" ht="20.100000000000001" customHeight="1" x14ac:dyDescent="0.4">
      <c r="A13" s="36" t="s">
        <v>817</v>
      </c>
      <c r="B13" s="41" t="s">
        <v>251</v>
      </c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20.100000000000001" customHeight="1" x14ac:dyDescent="0.4">
      <c r="A14" s="36" t="s">
        <v>818</v>
      </c>
      <c r="B14" s="41" t="s">
        <v>702</v>
      </c>
      <c r="C14" s="37"/>
      <c r="D14" s="37"/>
      <c r="E14" s="37"/>
      <c r="F14" s="37"/>
      <c r="G14" s="37"/>
      <c r="H14" s="37"/>
      <c r="I14" s="37"/>
      <c r="J14" s="37"/>
      <c r="K14" s="37"/>
    </row>
    <row r="15" spans="1:11" ht="20.100000000000001" customHeight="1" x14ac:dyDescent="0.4">
      <c r="A15" s="147" t="s">
        <v>789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</row>
    <row r="16" spans="1:11" ht="20.100000000000001" customHeight="1" x14ac:dyDescent="0.4">
      <c r="A16" s="36" t="s">
        <v>819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 spans="1:11" ht="20.100000000000001" customHeight="1" x14ac:dyDescent="0.4">
      <c r="A17" s="36" t="s">
        <v>994</v>
      </c>
      <c r="B17" s="38" t="s">
        <v>252</v>
      </c>
      <c r="C17" s="37"/>
      <c r="D17" s="37"/>
      <c r="E17" s="37"/>
      <c r="F17" s="37"/>
      <c r="G17" s="37"/>
      <c r="H17" s="37"/>
      <c r="I17" s="37"/>
      <c r="J17" s="37"/>
      <c r="K17" s="37"/>
    </row>
    <row r="18" spans="1:11" ht="20.100000000000001" customHeight="1" x14ac:dyDescent="0.4">
      <c r="A18" s="36" t="s">
        <v>822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spans="1:11" ht="20.100000000000001" customHeight="1" x14ac:dyDescent="0.4">
      <c r="A19" s="36" t="s">
        <v>1053</v>
      </c>
      <c r="B19" s="38" t="s">
        <v>210</v>
      </c>
      <c r="C19" s="37"/>
      <c r="D19" s="37"/>
      <c r="E19" s="37"/>
      <c r="F19" s="37"/>
      <c r="G19" s="37"/>
      <c r="H19" s="37"/>
      <c r="I19" s="37"/>
      <c r="J19" s="37"/>
      <c r="K19" s="37"/>
    </row>
    <row r="20" spans="1:11" ht="20.100000000000001" customHeight="1" x14ac:dyDescent="0.4">
      <c r="A20" s="36" t="s">
        <v>826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 ht="20.100000000000001" customHeight="1" x14ac:dyDescent="0.4">
      <c r="A21" s="36" t="s">
        <v>828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 spans="1:11" ht="20.100000000000001" customHeight="1" x14ac:dyDescent="0.4">
      <c r="A22" s="36" t="s">
        <v>830</v>
      </c>
      <c r="B22" s="37"/>
      <c r="C22" s="38" t="s">
        <v>253</v>
      </c>
      <c r="D22" s="37"/>
      <c r="E22" s="37"/>
      <c r="F22" s="37"/>
      <c r="G22" s="37"/>
      <c r="H22" s="37"/>
      <c r="I22" s="37"/>
      <c r="J22" s="37"/>
      <c r="K22" s="37"/>
    </row>
    <row r="23" spans="1:11" ht="20.100000000000001" customHeight="1" x14ac:dyDescent="0.4">
      <c r="A23" s="36" t="s">
        <v>832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spans="1:11" ht="20.100000000000001" customHeight="1" x14ac:dyDescent="0.4">
      <c r="A24" s="36" t="s">
        <v>834</v>
      </c>
      <c r="B24" s="38" t="s">
        <v>219</v>
      </c>
      <c r="C24" s="38" t="s">
        <v>220</v>
      </c>
      <c r="D24" s="37"/>
      <c r="E24" s="37"/>
      <c r="F24" s="37"/>
      <c r="G24" s="37"/>
      <c r="H24" s="37"/>
      <c r="I24" s="37"/>
      <c r="J24" s="37"/>
      <c r="K24" s="37"/>
    </row>
    <row r="25" spans="1:11" ht="20.100000000000001" customHeight="1" x14ac:dyDescent="0.4">
      <c r="A25" s="36" t="s">
        <v>836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spans="1:11" ht="20.100000000000001" customHeight="1" x14ac:dyDescent="0.4">
      <c r="A26" s="36" t="s">
        <v>838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spans="1:11" ht="46.9" customHeight="1" x14ac:dyDescent="0.4">
      <c r="A27" s="36" t="s">
        <v>840</v>
      </c>
      <c r="B27" s="38" t="s">
        <v>1052</v>
      </c>
      <c r="C27" s="63" t="s">
        <v>954</v>
      </c>
      <c r="D27" s="37"/>
      <c r="E27" s="37"/>
      <c r="F27" s="37"/>
      <c r="G27" s="37"/>
      <c r="H27" s="37"/>
      <c r="I27" s="37"/>
      <c r="J27" s="37"/>
      <c r="K27" s="37"/>
    </row>
    <row r="28" spans="1:11" ht="20.100000000000001" customHeight="1" x14ac:dyDescent="0.4">
      <c r="A28" s="36" t="s">
        <v>844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 spans="1:11" ht="20.100000000000001" customHeight="1" x14ac:dyDescent="0.4">
      <c r="A29" s="36" t="s">
        <v>846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spans="1:11" ht="20.100000000000001" customHeight="1" x14ac:dyDescent="0.4">
      <c r="A30" s="36" t="s">
        <v>848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 spans="1:11" ht="20.100000000000001" customHeight="1" x14ac:dyDescent="0.4">
      <c r="A31" s="36" t="s">
        <v>850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 spans="1:11" ht="20.100000000000001" customHeight="1" x14ac:dyDescent="0.4">
      <c r="A32" s="36" t="s">
        <v>852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 ht="20.100000000000001" customHeight="1" x14ac:dyDescent="0.4">
      <c r="A33" s="36" t="s">
        <v>993</v>
      </c>
      <c r="B33" s="38" t="s">
        <v>677</v>
      </c>
      <c r="C33" s="37"/>
      <c r="D33" s="37"/>
      <c r="E33" s="37"/>
      <c r="F33" s="37"/>
      <c r="G33" s="37"/>
      <c r="H33" s="37"/>
      <c r="I33" s="37"/>
      <c r="J33" s="37"/>
      <c r="K33" s="37"/>
    </row>
    <row r="34" spans="1:11" ht="20.100000000000001" customHeight="1" x14ac:dyDescent="0.4">
      <c r="A34" s="36" t="s">
        <v>855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 ht="20.100000000000001" customHeight="1" x14ac:dyDescent="0.4">
      <c r="A35" s="36" t="s">
        <v>857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 ht="20.100000000000001" customHeight="1" x14ac:dyDescent="0.4">
      <c r="A36" s="36" t="s">
        <v>859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 ht="20.100000000000001" customHeight="1" x14ac:dyDescent="0.4">
      <c r="A37" s="36" t="s">
        <v>931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 ht="20.100000000000001" customHeight="1" x14ac:dyDescent="0.4">
      <c r="A38" s="147" t="s">
        <v>884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</row>
    <row r="39" spans="1:11" ht="20.100000000000001" customHeight="1" x14ac:dyDescent="0.4">
      <c r="A39" s="36" t="s">
        <v>863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 ht="20.100000000000001" customHeight="1" x14ac:dyDescent="0.4">
      <c r="A40" s="36" t="s">
        <v>865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 ht="20.100000000000001" customHeight="1" x14ac:dyDescent="0.4">
      <c r="A41" s="147" t="s">
        <v>791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</row>
    <row r="42" spans="1:11" ht="20.100000000000001" customHeight="1" x14ac:dyDescent="0.4">
      <c r="A42" s="36" t="s">
        <v>867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 ht="35.65" customHeight="1" x14ac:dyDescent="0.4">
      <c r="A43" s="36" t="s">
        <v>868</v>
      </c>
      <c r="B43" s="143" t="s">
        <v>1051</v>
      </c>
      <c r="C43" s="42" t="s">
        <v>254</v>
      </c>
      <c r="D43" s="37"/>
      <c r="E43" s="37"/>
      <c r="F43" s="38" t="s">
        <v>255</v>
      </c>
      <c r="G43" s="38" t="s">
        <v>256</v>
      </c>
      <c r="H43" s="37"/>
      <c r="I43" s="37"/>
      <c r="J43" s="37"/>
      <c r="K43" s="37"/>
    </row>
    <row r="44" spans="1:11" ht="20.100000000000001" customHeight="1" x14ac:dyDescent="0.4">
      <c r="A44" s="36" t="s">
        <v>883</v>
      </c>
      <c r="B44" s="37"/>
      <c r="C44" s="37"/>
      <c r="D44" s="37"/>
      <c r="E44" s="37"/>
      <c r="F44" s="37"/>
      <c r="G44" s="37"/>
      <c r="H44" s="38" t="s">
        <v>708</v>
      </c>
      <c r="I44" s="37"/>
      <c r="J44" s="37"/>
      <c r="K44" s="37"/>
    </row>
    <row r="45" spans="1:11" ht="20.100000000000001" customHeight="1" x14ac:dyDescent="0.4">
      <c r="A45" s="36" t="s">
        <v>869</v>
      </c>
      <c r="B45" s="37"/>
      <c r="C45" s="37"/>
      <c r="D45" s="37"/>
      <c r="E45" s="37"/>
      <c r="F45" s="37"/>
      <c r="G45" s="37"/>
      <c r="H45" s="38" t="s">
        <v>257</v>
      </c>
      <c r="I45" s="38" t="s">
        <v>258</v>
      </c>
      <c r="J45" s="37"/>
      <c r="K45" s="37"/>
    </row>
    <row r="46" spans="1:11" ht="20.100000000000001" customHeight="1" x14ac:dyDescent="0.4">
      <c r="A46" s="36" t="s">
        <v>871</v>
      </c>
      <c r="B46" s="38" t="s">
        <v>259</v>
      </c>
      <c r="C46" s="38" t="s">
        <v>260</v>
      </c>
      <c r="D46" s="37"/>
      <c r="E46" s="37"/>
      <c r="F46" s="37"/>
      <c r="G46" s="37"/>
      <c r="H46" s="37"/>
      <c r="I46" s="37"/>
      <c r="J46" s="37"/>
      <c r="K46" s="37"/>
    </row>
    <row r="47" spans="1:11" ht="20.100000000000001" customHeight="1" x14ac:dyDescent="0.4">
      <c r="A47" s="36" t="s">
        <v>872</v>
      </c>
      <c r="B47" s="38" t="s">
        <v>261</v>
      </c>
      <c r="C47" s="38" t="s">
        <v>262</v>
      </c>
      <c r="D47" s="37"/>
      <c r="E47" s="37"/>
      <c r="F47" s="37"/>
      <c r="G47" s="37"/>
      <c r="H47" s="37"/>
      <c r="I47" s="37"/>
      <c r="J47" s="37"/>
      <c r="K47" s="37"/>
    </row>
    <row r="48" spans="1:11" ht="20.100000000000001" customHeight="1" x14ac:dyDescent="0.4">
      <c r="A48" s="36" t="s">
        <v>874</v>
      </c>
      <c r="B48" s="38" t="s">
        <v>263</v>
      </c>
      <c r="C48" s="38" t="s">
        <v>264</v>
      </c>
      <c r="D48" s="37"/>
      <c r="E48" s="37"/>
      <c r="F48" s="37"/>
      <c r="G48" s="37"/>
      <c r="H48" s="37"/>
      <c r="I48" s="37"/>
      <c r="J48" s="37"/>
      <c r="K48" s="37"/>
    </row>
    <row r="49" spans="1:11" ht="20.100000000000001" customHeight="1" x14ac:dyDescent="0.4">
      <c r="A49" s="36" t="s">
        <v>876</v>
      </c>
      <c r="B49" s="38" t="s">
        <v>265</v>
      </c>
      <c r="C49" s="37"/>
      <c r="D49" s="37"/>
      <c r="E49" s="37"/>
      <c r="F49" s="37"/>
      <c r="G49" s="37"/>
      <c r="H49" s="37"/>
      <c r="I49" s="37"/>
      <c r="J49" s="37"/>
      <c r="K49" s="37"/>
    </row>
    <row r="50" spans="1:11" ht="20.100000000000001" customHeight="1" x14ac:dyDescent="0.4">
      <c r="A50" s="36" t="s">
        <v>878</v>
      </c>
      <c r="B50" s="37"/>
      <c r="C50" s="37"/>
      <c r="D50" s="38" t="s">
        <v>266</v>
      </c>
      <c r="E50" s="38" t="s">
        <v>267</v>
      </c>
      <c r="F50" s="37"/>
      <c r="G50" s="37"/>
      <c r="H50" s="37"/>
      <c r="I50" s="37"/>
      <c r="J50" s="37"/>
      <c r="K50" s="37"/>
    </row>
    <row r="51" spans="1:11" ht="20.100000000000001" customHeight="1" x14ac:dyDescent="0.4">
      <c r="A51" s="36" t="s">
        <v>880</v>
      </c>
      <c r="B51" s="37"/>
      <c r="C51" s="37"/>
      <c r="D51" s="37"/>
      <c r="E51" s="38" t="s">
        <v>268</v>
      </c>
      <c r="F51" s="37"/>
      <c r="G51" s="37"/>
      <c r="H51" s="37"/>
      <c r="I51" s="37"/>
      <c r="J51" s="37"/>
      <c r="K51" s="37"/>
    </row>
    <row r="52" spans="1:11" ht="20.100000000000001" customHeight="1" x14ac:dyDescent="0.4">
      <c r="A52" s="36" t="s">
        <v>882</v>
      </c>
      <c r="B52" s="37"/>
      <c r="C52" s="37"/>
      <c r="D52" s="37"/>
      <c r="E52" s="38" t="s">
        <v>269</v>
      </c>
      <c r="F52" s="37"/>
      <c r="G52" s="37"/>
      <c r="H52" s="37"/>
      <c r="I52" s="37"/>
      <c r="J52" s="37"/>
      <c r="K52" s="37"/>
    </row>
  </sheetData>
  <mergeCells count="4">
    <mergeCell ref="A2:K2"/>
    <mergeCell ref="A15:K15"/>
    <mergeCell ref="A38:K38"/>
    <mergeCell ref="A41:K4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7E3F-F29A-4719-90D8-176651BE403B}">
  <dimension ref="A1:H33"/>
  <sheetViews>
    <sheetView topLeftCell="A31" zoomScale="60" zoomScaleNormal="60" workbookViewId="0">
      <selection activeCell="G4" sqref="G4"/>
    </sheetView>
  </sheetViews>
  <sheetFormatPr defaultRowHeight="13.9" x14ac:dyDescent="0.4"/>
  <cols>
    <col min="1" max="1" width="38.73046875" customWidth="1"/>
    <col min="2" max="2" width="63.73046875" customWidth="1"/>
    <col min="3" max="3" width="26.33203125" customWidth="1"/>
    <col min="4" max="4" width="44.06640625" customWidth="1"/>
    <col min="5" max="5" width="56.59765625" customWidth="1"/>
    <col min="6" max="6" width="36.59765625" style="17" customWidth="1"/>
    <col min="7" max="7" width="46.73046875" customWidth="1"/>
    <col min="8" max="8" width="109.19921875" customWidth="1"/>
  </cols>
  <sheetData>
    <row r="1" spans="1:8" ht="39.950000000000003" customHeight="1" thickBot="1" x14ac:dyDescent="0.45">
      <c r="A1" s="108" t="s">
        <v>886</v>
      </c>
      <c r="B1" s="108" t="s">
        <v>887</v>
      </c>
      <c r="C1" s="108" t="s">
        <v>888</v>
      </c>
      <c r="D1" s="108" t="s">
        <v>889</v>
      </c>
      <c r="E1" s="108" t="s">
        <v>890</v>
      </c>
      <c r="F1" s="126" t="s">
        <v>891</v>
      </c>
      <c r="G1" s="108" t="s">
        <v>892</v>
      </c>
      <c r="H1" s="108" t="s">
        <v>893</v>
      </c>
    </row>
    <row r="2" spans="1:8" ht="39.950000000000003" customHeight="1" thickBot="1" x14ac:dyDescent="0.45">
      <c r="A2" s="82" t="s">
        <v>894</v>
      </c>
      <c r="B2" t="s">
        <v>905</v>
      </c>
      <c r="C2" s="66" t="s">
        <v>569</v>
      </c>
      <c r="D2" s="67" t="s">
        <v>834</v>
      </c>
      <c r="E2" s="63" t="s">
        <v>478</v>
      </c>
      <c r="F2" s="127" t="s">
        <v>934</v>
      </c>
      <c r="G2" s="68" t="s">
        <v>570</v>
      </c>
      <c r="H2" s="104" t="s">
        <v>571</v>
      </c>
    </row>
    <row r="3" spans="1:8" ht="39.950000000000003" customHeight="1" thickBot="1" x14ac:dyDescent="0.45">
      <c r="A3" s="84" t="s">
        <v>895</v>
      </c>
      <c r="B3" t="s">
        <v>905</v>
      </c>
      <c r="C3" s="66" t="s">
        <v>572</v>
      </c>
      <c r="D3" s="67" t="s">
        <v>926</v>
      </c>
      <c r="E3" s="38" t="s">
        <v>573</v>
      </c>
      <c r="F3" s="127" t="s">
        <v>935</v>
      </c>
      <c r="G3" s="68">
        <v>0.2</v>
      </c>
      <c r="H3" s="104" t="s">
        <v>574</v>
      </c>
    </row>
    <row r="4" spans="1:8" ht="39.950000000000003" customHeight="1" thickBot="1" x14ac:dyDescent="0.45">
      <c r="A4" s="82" t="s">
        <v>896</v>
      </c>
      <c r="B4" t="s">
        <v>906</v>
      </c>
      <c r="C4" s="66" t="s">
        <v>576</v>
      </c>
      <c r="D4" s="67" t="s">
        <v>810</v>
      </c>
      <c r="E4" s="38" t="s">
        <v>577</v>
      </c>
      <c r="F4" s="127" t="s">
        <v>934</v>
      </c>
      <c r="G4" s="68">
        <v>3</v>
      </c>
      <c r="H4" s="104" t="s">
        <v>578</v>
      </c>
    </row>
    <row r="5" spans="1:8" ht="39.950000000000003" customHeight="1" thickBot="1" x14ac:dyDescent="0.45">
      <c r="A5" s="86" t="s">
        <v>709</v>
      </c>
      <c r="B5" t="s">
        <v>925</v>
      </c>
      <c r="C5" s="66" t="s">
        <v>579</v>
      </c>
      <c r="D5" s="67" t="s">
        <v>855</v>
      </c>
      <c r="E5" s="38" t="s">
        <v>580</v>
      </c>
      <c r="F5" s="127" t="s">
        <v>936</v>
      </c>
      <c r="G5" s="68" t="s">
        <v>581</v>
      </c>
      <c r="H5" s="104" t="s">
        <v>582</v>
      </c>
    </row>
    <row r="6" spans="1:8" ht="39.950000000000003" customHeight="1" thickBot="1" x14ac:dyDescent="0.45">
      <c r="A6" s="86" t="s">
        <v>710</v>
      </c>
      <c r="B6" t="s">
        <v>907</v>
      </c>
      <c r="C6" s="66" t="s">
        <v>583</v>
      </c>
      <c r="D6" s="67" t="s">
        <v>927</v>
      </c>
      <c r="E6" s="63" t="s">
        <v>478</v>
      </c>
      <c r="F6" s="127" t="s">
        <v>937</v>
      </c>
      <c r="G6" s="68" t="s">
        <v>437</v>
      </c>
      <c r="H6" s="104" t="s">
        <v>584</v>
      </c>
    </row>
    <row r="7" spans="1:8" ht="39.950000000000003" customHeight="1" thickBot="1" x14ac:dyDescent="0.45">
      <c r="A7" s="69" t="s">
        <v>585</v>
      </c>
      <c r="B7" t="s">
        <v>906</v>
      </c>
      <c r="C7" s="66" t="s">
        <v>576</v>
      </c>
      <c r="D7" s="69" t="s">
        <v>810</v>
      </c>
      <c r="E7" s="38" t="s">
        <v>577</v>
      </c>
      <c r="F7" s="128" t="s">
        <v>938</v>
      </c>
      <c r="G7" s="70" t="s">
        <v>953</v>
      </c>
      <c r="H7" s="105" t="s">
        <v>408</v>
      </c>
    </row>
    <row r="8" spans="1:8" ht="39.950000000000003" customHeight="1" thickBot="1" x14ac:dyDescent="0.45">
      <c r="A8" s="87" t="s">
        <v>586</v>
      </c>
      <c r="B8" t="s">
        <v>908</v>
      </c>
      <c r="C8" s="66" t="s">
        <v>587</v>
      </c>
      <c r="D8" s="67" t="s">
        <v>855</v>
      </c>
      <c r="E8" s="63" t="s">
        <v>588</v>
      </c>
      <c r="F8" s="127" t="s">
        <v>934</v>
      </c>
      <c r="G8" s="68" t="s">
        <v>589</v>
      </c>
      <c r="H8" s="104" t="s">
        <v>590</v>
      </c>
    </row>
    <row r="9" spans="1:8" ht="39.950000000000003" customHeight="1" thickBot="1" x14ac:dyDescent="0.45">
      <c r="A9" s="86" t="s">
        <v>897</v>
      </c>
      <c r="B9" t="s">
        <v>909</v>
      </c>
      <c r="C9" s="66" t="s">
        <v>592</v>
      </c>
      <c r="D9" s="67" t="s">
        <v>828</v>
      </c>
      <c r="E9" s="63" t="s">
        <v>593</v>
      </c>
      <c r="F9" s="127" t="s">
        <v>939</v>
      </c>
      <c r="G9" s="68" t="s">
        <v>563</v>
      </c>
      <c r="H9" s="104" t="s">
        <v>594</v>
      </c>
    </row>
    <row r="10" spans="1:8" ht="39.950000000000003" customHeight="1" thickBot="1" x14ac:dyDescent="0.45">
      <c r="A10" s="87" t="s">
        <v>192</v>
      </c>
      <c r="B10" t="s">
        <v>906</v>
      </c>
      <c r="C10" s="66" t="s">
        <v>576</v>
      </c>
      <c r="D10" s="67" t="s">
        <v>804</v>
      </c>
      <c r="E10" s="38" t="s">
        <v>595</v>
      </c>
      <c r="F10" s="127" t="s">
        <v>940</v>
      </c>
      <c r="G10" s="68" t="s">
        <v>596</v>
      </c>
      <c r="H10" s="104" t="s">
        <v>597</v>
      </c>
    </row>
    <row r="11" spans="1:8" ht="39.950000000000003" customHeight="1" thickBot="1" x14ac:dyDescent="0.45">
      <c r="A11" s="69" t="s">
        <v>598</v>
      </c>
      <c r="B11" t="s">
        <v>910</v>
      </c>
      <c r="C11" s="66" t="s">
        <v>599</v>
      </c>
      <c r="D11" s="67" t="s">
        <v>826</v>
      </c>
      <c r="E11" s="63" t="s">
        <v>600</v>
      </c>
      <c r="F11" s="127" t="s">
        <v>941</v>
      </c>
      <c r="G11" s="70" t="s">
        <v>409</v>
      </c>
      <c r="H11" s="104" t="s">
        <v>601</v>
      </c>
    </row>
    <row r="12" spans="1:8" ht="39.950000000000003" customHeight="1" thickBot="1" x14ac:dyDescent="0.45">
      <c r="A12" s="87" t="s">
        <v>602</v>
      </c>
      <c r="B12" t="s">
        <v>911</v>
      </c>
      <c r="C12" s="66" t="s">
        <v>603</v>
      </c>
      <c r="D12" s="67" t="s">
        <v>862</v>
      </c>
      <c r="E12" s="38" t="s">
        <v>604</v>
      </c>
      <c r="F12" s="129" t="s">
        <v>941</v>
      </c>
      <c r="G12" s="71" t="s">
        <v>605</v>
      </c>
      <c r="H12" s="106" t="s">
        <v>606</v>
      </c>
    </row>
    <row r="13" spans="1:8" ht="39.950000000000003" customHeight="1" thickBot="1" x14ac:dyDescent="0.45">
      <c r="A13" s="87" t="s">
        <v>607</v>
      </c>
      <c r="B13" t="s">
        <v>911</v>
      </c>
      <c r="C13" s="66" t="s">
        <v>608</v>
      </c>
      <c r="D13" s="67" t="s">
        <v>862</v>
      </c>
      <c r="E13" s="38" t="s">
        <v>609</v>
      </c>
      <c r="F13" s="129" t="s">
        <v>942</v>
      </c>
      <c r="G13" s="71" t="s">
        <v>400</v>
      </c>
      <c r="H13" s="106" t="s">
        <v>610</v>
      </c>
    </row>
    <row r="14" spans="1:8" ht="39.950000000000003" customHeight="1" thickBot="1" x14ac:dyDescent="0.45">
      <c r="A14" s="87" t="s">
        <v>611</v>
      </c>
      <c r="B14" t="s">
        <v>911</v>
      </c>
      <c r="C14" s="66" t="s">
        <v>608</v>
      </c>
      <c r="D14" s="67" t="s">
        <v>864</v>
      </c>
      <c r="E14" s="38" t="s">
        <v>612</v>
      </c>
      <c r="F14" s="129" t="s">
        <v>943</v>
      </c>
      <c r="G14" s="71" t="s">
        <v>605</v>
      </c>
      <c r="H14" s="106" t="s">
        <v>613</v>
      </c>
    </row>
    <row r="15" spans="1:8" ht="39.950000000000003" customHeight="1" thickBot="1" x14ac:dyDescent="0.45">
      <c r="A15" s="87" t="s">
        <v>614</v>
      </c>
      <c r="B15" t="s">
        <v>912</v>
      </c>
      <c r="C15" s="66" t="s">
        <v>615</v>
      </c>
      <c r="D15" s="67" t="s">
        <v>864</v>
      </c>
      <c r="E15" s="63" t="s">
        <v>616</v>
      </c>
      <c r="F15" s="129" t="s">
        <v>934</v>
      </c>
      <c r="G15" s="71" t="s">
        <v>568</v>
      </c>
      <c r="H15" s="106" t="s">
        <v>617</v>
      </c>
    </row>
    <row r="16" spans="1:8" ht="39.950000000000003" customHeight="1" thickBot="1" x14ac:dyDescent="0.45">
      <c r="A16" s="83" t="s">
        <v>898</v>
      </c>
      <c r="B16" t="s">
        <v>907</v>
      </c>
      <c r="C16" s="66" t="s">
        <v>618</v>
      </c>
      <c r="D16" s="67" t="s">
        <v>838</v>
      </c>
      <c r="E16" s="38" t="s">
        <v>619</v>
      </c>
      <c r="F16" s="127" t="s">
        <v>934</v>
      </c>
      <c r="G16" s="68" t="s">
        <v>620</v>
      </c>
      <c r="H16" s="104" t="s">
        <v>621</v>
      </c>
    </row>
    <row r="17" spans="1:8" ht="39.950000000000003" customHeight="1" thickBot="1" x14ac:dyDescent="0.45">
      <c r="A17" s="82" t="s">
        <v>899</v>
      </c>
      <c r="B17" t="s">
        <v>913</v>
      </c>
      <c r="C17" s="66" t="s">
        <v>503</v>
      </c>
      <c r="D17" s="67" t="s">
        <v>928</v>
      </c>
      <c r="E17" s="38" t="s">
        <v>537</v>
      </c>
      <c r="F17" s="127" t="s">
        <v>950</v>
      </c>
      <c r="G17" s="68" t="s">
        <v>394</v>
      </c>
      <c r="H17" s="104" t="s">
        <v>622</v>
      </c>
    </row>
    <row r="18" spans="1:8" ht="39.950000000000003" customHeight="1" thickBot="1" x14ac:dyDescent="0.45">
      <c r="A18" s="69" t="s">
        <v>623</v>
      </c>
      <c r="B18" t="s">
        <v>914</v>
      </c>
      <c r="C18" s="66" t="s">
        <v>624</v>
      </c>
      <c r="D18" s="67" t="s">
        <v>819</v>
      </c>
      <c r="E18" s="38" t="s">
        <v>625</v>
      </c>
      <c r="F18" s="127" t="s">
        <v>944</v>
      </c>
      <c r="G18" s="70" t="s">
        <v>409</v>
      </c>
      <c r="H18" s="104" t="s">
        <v>626</v>
      </c>
    </row>
    <row r="19" spans="1:8" ht="39.950000000000003" customHeight="1" thickBot="1" x14ac:dyDescent="0.45">
      <c r="A19" s="65" t="s">
        <v>627</v>
      </c>
      <c r="B19" t="s">
        <v>905</v>
      </c>
      <c r="C19" s="66" t="s">
        <v>628</v>
      </c>
      <c r="D19" s="67" t="s">
        <v>929</v>
      </c>
      <c r="E19" s="63" t="s">
        <v>629</v>
      </c>
      <c r="F19" s="127" t="s">
        <v>945</v>
      </c>
      <c r="G19" s="68" t="s">
        <v>400</v>
      </c>
      <c r="H19" s="104" t="s">
        <v>630</v>
      </c>
    </row>
    <row r="20" spans="1:8" ht="39.950000000000003" customHeight="1" thickBot="1" x14ac:dyDescent="0.45">
      <c r="A20" s="65" t="s">
        <v>631</v>
      </c>
      <c r="B20" t="s">
        <v>908</v>
      </c>
      <c r="C20" s="66" t="s">
        <v>632</v>
      </c>
      <c r="D20" s="67" t="s">
        <v>929</v>
      </c>
      <c r="E20" s="63" t="s">
        <v>633</v>
      </c>
      <c r="F20" s="127" t="s">
        <v>937</v>
      </c>
      <c r="G20" s="68" t="s">
        <v>400</v>
      </c>
      <c r="H20" s="104" t="s">
        <v>634</v>
      </c>
    </row>
    <row r="21" spans="1:8" ht="39.950000000000003" customHeight="1" thickBot="1" x14ac:dyDescent="0.45">
      <c r="A21" s="65" t="s">
        <v>635</v>
      </c>
      <c r="B21" t="s">
        <v>915</v>
      </c>
      <c r="C21" s="66" t="s">
        <v>636</v>
      </c>
      <c r="D21" s="67" t="s">
        <v>840</v>
      </c>
      <c r="E21" s="38" t="s">
        <v>637</v>
      </c>
      <c r="F21" s="127" t="s">
        <v>934</v>
      </c>
      <c r="G21" s="68" t="s">
        <v>437</v>
      </c>
      <c r="H21" s="104" t="s">
        <v>638</v>
      </c>
    </row>
    <row r="22" spans="1:8" ht="39.950000000000003" customHeight="1" thickBot="1" x14ac:dyDescent="0.45">
      <c r="A22" s="84" t="s">
        <v>900</v>
      </c>
      <c r="B22" t="s">
        <v>913</v>
      </c>
      <c r="C22" s="66" t="s">
        <v>503</v>
      </c>
      <c r="D22" s="67" t="s">
        <v>930</v>
      </c>
      <c r="E22" s="38" t="s">
        <v>537</v>
      </c>
      <c r="F22" s="127" t="s">
        <v>946</v>
      </c>
      <c r="G22" s="68" t="s">
        <v>400</v>
      </c>
      <c r="H22" s="104" t="s">
        <v>639</v>
      </c>
    </row>
    <row r="23" spans="1:8" ht="39.950000000000003" customHeight="1" thickBot="1" x14ac:dyDescent="0.45">
      <c r="A23" s="69" t="s">
        <v>640</v>
      </c>
      <c r="B23" t="s">
        <v>916</v>
      </c>
      <c r="C23" s="66" t="s">
        <v>641</v>
      </c>
      <c r="D23" s="67" t="s">
        <v>852</v>
      </c>
      <c r="E23" s="38" t="s">
        <v>226</v>
      </c>
      <c r="F23" s="127" t="s">
        <v>947</v>
      </c>
      <c r="G23" s="70" t="s">
        <v>409</v>
      </c>
      <c r="H23" s="104" t="s">
        <v>642</v>
      </c>
    </row>
    <row r="24" spans="1:8" ht="39.950000000000003" customHeight="1" thickBot="1" x14ac:dyDescent="0.45">
      <c r="A24" s="82" t="s">
        <v>901</v>
      </c>
      <c r="B24" t="s">
        <v>917</v>
      </c>
      <c r="C24" s="66" t="s">
        <v>643</v>
      </c>
      <c r="D24" s="67" t="s">
        <v>826</v>
      </c>
      <c r="E24" s="63" t="s">
        <v>600</v>
      </c>
      <c r="F24" s="127" t="s">
        <v>946</v>
      </c>
      <c r="G24" s="68" t="s">
        <v>394</v>
      </c>
      <c r="H24" s="104" t="s">
        <v>644</v>
      </c>
    </row>
    <row r="25" spans="1:8" ht="39.950000000000003" customHeight="1" thickBot="1" x14ac:dyDescent="0.45">
      <c r="A25" s="69" t="s">
        <v>645</v>
      </c>
      <c r="B25" t="s">
        <v>918</v>
      </c>
      <c r="C25" s="66" t="s">
        <v>646</v>
      </c>
      <c r="D25" s="67" t="s">
        <v>931</v>
      </c>
      <c r="E25" s="63" t="s">
        <v>647</v>
      </c>
      <c r="F25" s="127" t="s">
        <v>934</v>
      </c>
      <c r="G25" s="70" t="s">
        <v>952</v>
      </c>
      <c r="H25" s="104" t="s">
        <v>648</v>
      </c>
    </row>
    <row r="26" spans="1:8" ht="39.950000000000003" customHeight="1" thickBot="1" x14ac:dyDescent="0.45">
      <c r="A26" s="84" t="s">
        <v>902</v>
      </c>
      <c r="B26" t="s">
        <v>919</v>
      </c>
      <c r="C26" s="66" t="s">
        <v>652</v>
      </c>
      <c r="D26" s="67" t="s">
        <v>932</v>
      </c>
      <c r="E26" s="63" t="s">
        <v>705</v>
      </c>
      <c r="F26" s="127" t="s">
        <v>934</v>
      </c>
      <c r="G26" s="68" t="s">
        <v>653</v>
      </c>
      <c r="H26" s="104" t="s">
        <v>654</v>
      </c>
    </row>
    <row r="27" spans="1:8" ht="39.950000000000003" customHeight="1" thickBot="1" x14ac:dyDescent="0.45">
      <c r="A27" s="69" t="s">
        <v>655</v>
      </c>
      <c r="B27" t="s">
        <v>919</v>
      </c>
      <c r="C27" s="66" t="s">
        <v>652</v>
      </c>
      <c r="D27" s="72" t="s">
        <v>808</v>
      </c>
      <c r="E27" s="38" t="s">
        <v>656</v>
      </c>
      <c r="F27" s="130" t="s">
        <v>934</v>
      </c>
      <c r="G27" s="73">
        <v>0.95</v>
      </c>
      <c r="H27" s="107" t="s">
        <v>408</v>
      </c>
    </row>
    <row r="28" spans="1:8" ht="39.950000000000003" customHeight="1" thickBot="1" x14ac:dyDescent="0.45">
      <c r="A28" s="84" t="s">
        <v>903</v>
      </c>
      <c r="B28" t="s">
        <v>913</v>
      </c>
      <c r="C28" s="66" t="s">
        <v>503</v>
      </c>
      <c r="D28" s="67" t="s">
        <v>800</v>
      </c>
      <c r="E28" s="38" t="s">
        <v>537</v>
      </c>
      <c r="F28" s="127" t="s">
        <v>948</v>
      </c>
      <c r="G28" s="68" t="s">
        <v>404</v>
      </c>
      <c r="H28" s="104" t="s">
        <v>657</v>
      </c>
    </row>
    <row r="29" spans="1:8" ht="39.950000000000003" customHeight="1" thickBot="1" x14ac:dyDescent="0.45">
      <c r="A29" s="85" t="s">
        <v>649</v>
      </c>
      <c r="B29" t="s">
        <v>920</v>
      </c>
      <c r="C29" s="66" t="s">
        <v>650</v>
      </c>
      <c r="D29" s="67" t="s">
        <v>933</v>
      </c>
      <c r="E29" s="63" t="s">
        <v>600</v>
      </c>
      <c r="F29" s="127" t="s">
        <v>946</v>
      </c>
      <c r="G29" s="68" t="s">
        <v>455</v>
      </c>
      <c r="H29" s="104" t="s">
        <v>651</v>
      </c>
    </row>
    <row r="30" spans="1:8" ht="39.950000000000003" customHeight="1" thickBot="1" x14ac:dyDescent="0.45">
      <c r="A30" s="66" t="s">
        <v>658</v>
      </c>
      <c r="B30" t="s">
        <v>921</v>
      </c>
      <c r="C30" s="66" t="s">
        <v>659</v>
      </c>
      <c r="D30" s="67" t="s">
        <v>824</v>
      </c>
      <c r="E30" s="38" t="s">
        <v>706</v>
      </c>
      <c r="F30" s="127" t="s">
        <v>941</v>
      </c>
      <c r="G30" s="68" t="s">
        <v>394</v>
      </c>
      <c r="H30" s="104" t="s">
        <v>660</v>
      </c>
    </row>
    <row r="31" spans="1:8" ht="39.950000000000003" customHeight="1" thickBot="1" x14ac:dyDescent="0.45">
      <c r="A31" s="69" t="s">
        <v>661</v>
      </c>
      <c r="B31" t="s">
        <v>922</v>
      </c>
      <c r="C31" s="66" t="s">
        <v>662</v>
      </c>
      <c r="D31" s="69" t="s">
        <v>862</v>
      </c>
      <c r="E31" s="63" t="s">
        <v>663</v>
      </c>
      <c r="F31" s="128" t="s">
        <v>934</v>
      </c>
      <c r="G31" s="70" t="s">
        <v>409</v>
      </c>
      <c r="H31" s="105" t="s">
        <v>408</v>
      </c>
    </row>
    <row r="32" spans="1:8" ht="39.950000000000003" customHeight="1" thickBot="1" x14ac:dyDescent="0.45">
      <c r="A32" s="82" t="s">
        <v>904</v>
      </c>
      <c r="B32" t="s">
        <v>923</v>
      </c>
      <c r="C32" s="66" t="s">
        <v>665</v>
      </c>
      <c r="D32" s="74" t="s">
        <v>842</v>
      </c>
      <c r="E32" s="63" t="s">
        <v>666</v>
      </c>
      <c r="F32" s="127" t="s">
        <v>949</v>
      </c>
      <c r="G32" s="68" t="s">
        <v>667</v>
      </c>
      <c r="H32" s="104" t="s">
        <v>668</v>
      </c>
    </row>
    <row r="33" spans="1:8" ht="39.950000000000003" customHeight="1" thickBot="1" x14ac:dyDescent="0.45">
      <c r="A33" s="69" t="s">
        <v>669</v>
      </c>
      <c r="B33" t="s">
        <v>924</v>
      </c>
      <c r="C33" s="66" t="s">
        <v>670</v>
      </c>
      <c r="D33" s="66" t="s">
        <v>857</v>
      </c>
      <c r="E33" s="38" t="s">
        <v>671</v>
      </c>
      <c r="F33" s="127" t="s">
        <v>951</v>
      </c>
      <c r="G33" s="70" t="s">
        <v>409</v>
      </c>
      <c r="H33" s="66" t="s">
        <v>672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46D3-5FCA-472B-9D90-4631E2A1833C}">
  <dimension ref="A1:K53"/>
  <sheetViews>
    <sheetView topLeftCell="A17" zoomScale="60" zoomScaleNormal="60" workbookViewId="0">
      <selection activeCell="A42" sqref="A42:K42"/>
    </sheetView>
  </sheetViews>
  <sheetFormatPr defaultRowHeight="13.9" x14ac:dyDescent="0.4"/>
  <cols>
    <col min="1" max="1" width="60" customWidth="1"/>
    <col min="2" max="11" width="15.59765625" customWidth="1"/>
  </cols>
  <sheetData>
    <row r="1" spans="1:11" ht="105.75" customHeight="1" x14ac:dyDescent="0.4">
      <c r="A1" s="34" t="s">
        <v>885</v>
      </c>
      <c r="B1" s="35" t="s">
        <v>194</v>
      </c>
      <c r="C1" s="35" t="s">
        <v>195</v>
      </c>
      <c r="D1" s="35" t="s">
        <v>196</v>
      </c>
      <c r="E1" s="35" t="s">
        <v>197</v>
      </c>
      <c r="F1" s="35" t="s">
        <v>198</v>
      </c>
      <c r="G1" s="35" t="s">
        <v>199</v>
      </c>
      <c r="H1" s="35" t="s">
        <v>200</v>
      </c>
      <c r="I1" s="35" t="s">
        <v>201</v>
      </c>
      <c r="J1" s="35" t="s">
        <v>202</v>
      </c>
      <c r="K1" s="35" t="s">
        <v>203</v>
      </c>
    </row>
    <row r="2" spans="1:11" ht="24.95" customHeight="1" x14ac:dyDescent="0.4">
      <c r="A2" s="145" t="s">
        <v>790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</row>
    <row r="3" spans="1:11" ht="24.95" customHeight="1" x14ac:dyDescent="0.4">
      <c r="A3" s="36" t="s">
        <v>797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24.95" customHeight="1" x14ac:dyDescent="0.4">
      <c r="A4" s="36" t="s">
        <v>799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24.95" customHeight="1" x14ac:dyDescent="0.4">
      <c r="A5" s="36" t="s">
        <v>801</v>
      </c>
      <c r="B5" s="37"/>
      <c r="C5" s="37"/>
      <c r="D5" s="38" t="s">
        <v>204</v>
      </c>
      <c r="E5" s="37"/>
      <c r="F5" s="37"/>
      <c r="G5" s="37"/>
      <c r="H5" s="37"/>
      <c r="I5" s="37"/>
      <c r="J5" s="37"/>
      <c r="K5" s="37"/>
    </row>
    <row r="6" spans="1:11" ht="24.95" customHeight="1" x14ac:dyDescent="0.4">
      <c r="A6" s="36" t="s">
        <v>803</v>
      </c>
      <c r="B6" s="37"/>
      <c r="C6" s="38" t="s">
        <v>205</v>
      </c>
      <c r="D6" s="37"/>
      <c r="E6" s="37"/>
      <c r="F6" s="37"/>
      <c r="G6" s="37"/>
      <c r="H6" s="37"/>
      <c r="I6" s="37"/>
      <c r="J6" s="37"/>
      <c r="K6" s="37"/>
    </row>
    <row r="7" spans="1:11" ht="24.95" customHeight="1" x14ac:dyDescent="0.4">
      <c r="A7" s="36" t="s">
        <v>805</v>
      </c>
      <c r="B7" s="38" t="s">
        <v>206</v>
      </c>
      <c r="C7" s="37"/>
      <c r="D7" s="37"/>
      <c r="E7" s="37"/>
      <c r="F7" s="37"/>
      <c r="G7" s="37"/>
      <c r="H7" s="37"/>
      <c r="I7" s="37"/>
      <c r="J7" s="37"/>
      <c r="K7" s="37"/>
    </row>
    <row r="8" spans="1:11" ht="24.95" customHeight="1" x14ac:dyDescent="0.4">
      <c r="A8" s="36" t="s">
        <v>807</v>
      </c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24.95" customHeight="1" x14ac:dyDescent="0.4">
      <c r="A9" s="36" t="s">
        <v>809</v>
      </c>
      <c r="B9" s="37"/>
      <c r="C9" s="38" t="s">
        <v>207</v>
      </c>
      <c r="D9" s="37"/>
      <c r="E9" s="37"/>
      <c r="F9" s="37"/>
      <c r="G9" s="37"/>
      <c r="H9" s="37"/>
      <c r="I9" s="37"/>
      <c r="J9" s="37"/>
      <c r="K9" s="37"/>
    </row>
    <row r="10" spans="1:11" ht="24.95" customHeight="1" x14ac:dyDescent="0.4">
      <c r="A10" s="36" t="s">
        <v>811</v>
      </c>
      <c r="B10" s="38" t="s">
        <v>208</v>
      </c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4.95" customHeight="1" x14ac:dyDescent="0.4">
      <c r="A11" s="36" t="s">
        <v>813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24.95" customHeight="1" x14ac:dyDescent="0.4">
      <c r="A12" s="36" t="s">
        <v>815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 ht="24.95" customHeight="1" x14ac:dyDescent="0.4">
      <c r="A13" s="36" t="s">
        <v>817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24.95" customHeight="1" x14ac:dyDescent="0.4">
      <c r="A14" s="36" t="s">
        <v>818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 spans="1:11" ht="24.95" customHeight="1" x14ac:dyDescent="0.4">
      <c r="A15" s="147" t="s">
        <v>789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</row>
    <row r="16" spans="1:11" ht="24.95" customHeight="1" x14ac:dyDescent="0.4">
      <c r="A16" s="36" t="s">
        <v>820</v>
      </c>
      <c r="B16" s="38" t="s">
        <v>209</v>
      </c>
      <c r="C16" s="37"/>
      <c r="D16" s="37"/>
      <c r="E16" s="37"/>
      <c r="F16" s="37"/>
      <c r="G16" s="37"/>
      <c r="H16" s="37"/>
      <c r="I16" s="37"/>
      <c r="J16" s="37"/>
      <c r="K16" s="37"/>
    </row>
    <row r="17" spans="1:11" ht="24.95" customHeight="1" x14ac:dyDescent="0.4">
      <c r="A17" s="36" t="s">
        <v>821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 spans="1:11" ht="24.95" customHeight="1" x14ac:dyDescent="0.4">
      <c r="A18" s="36" t="s">
        <v>823</v>
      </c>
      <c r="B18" s="37"/>
      <c r="C18" s="37"/>
      <c r="D18" s="37"/>
      <c r="E18" s="37"/>
      <c r="F18" s="37"/>
      <c r="G18" s="37"/>
      <c r="I18" s="37"/>
      <c r="J18" s="37"/>
      <c r="K18" s="37"/>
    </row>
    <row r="19" spans="1:11" ht="24.95" customHeight="1" x14ac:dyDescent="0.4">
      <c r="A19" s="36" t="s">
        <v>825</v>
      </c>
      <c r="B19" s="38" t="s">
        <v>210</v>
      </c>
      <c r="C19" s="38" t="s">
        <v>211</v>
      </c>
      <c r="D19" s="37"/>
      <c r="E19" s="37"/>
      <c r="F19" s="37"/>
      <c r="G19" s="37"/>
      <c r="H19" s="39" t="s">
        <v>212</v>
      </c>
      <c r="I19" s="39" t="s">
        <v>213</v>
      </c>
      <c r="J19" s="39" t="s">
        <v>214</v>
      </c>
      <c r="K19" s="37"/>
    </row>
    <row r="20" spans="1:11" ht="24.95" customHeight="1" x14ac:dyDescent="0.4">
      <c r="A20" s="36" t="s">
        <v>827</v>
      </c>
      <c r="B20" s="37"/>
      <c r="C20" s="38" t="s">
        <v>215</v>
      </c>
      <c r="D20" s="38" t="s">
        <v>216</v>
      </c>
      <c r="E20" s="37"/>
      <c r="F20" s="37"/>
      <c r="G20" s="37"/>
      <c r="H20" s="37"/>
      <c r="I20" s="37"/>
      <c r="J20" s="37"/>
      <c r="K20" s="37"/>
    </row>
    <row r="21" spans="1:11" ht="24.95" customHeight="1" x14ac:dyDescent="0.4">
      <c r="A21" s="36" t="s">
        <v>829</v>
      </c>
      <c r="B21" s="38" t="s">
        <v>217</v>
      </c>
      <c r="C21" s="38" t="s">
        <v>218</v>
      </c>
      <c r="D21" s="37"/>
      <c r="E21" s="37"/>
      <c r="F21" s="37"/>
      <c r="G21" s="37"/>
      <c r="H21" s="37"/>
      <c r="I21" s="37"/>
      <c r="J21" s="37"/>
      <c r="K21" s="37"/>
    </row>
    <row r="22" spans="1:11" ht="24.95" customHeight="1" x14ac:dyDescent="0.4">
      <c r="A22" s="36" t="s">
        <v>831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 spans="1:11" ht="24.95" customHeight="1" x14ac:dyDescent="0.4">
      <c r="A23" s="36" t="s">
        <v>833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spans="1:11" ht="24.95" customHeight="1" x14ac:dyDescent="0.4">
      <c r="A24" s="36" t="s">
        <v>835</v>
      </c>
      <c r="B24" s="38" t="s">
        <v>219</v>
      </c>
      <c r="C24" s="37" t="s">
        <v>220</v>
      </c>
      <c r="D24" s="37"/>
      <c r="E24" s="37"/>
      <c r="F24" s="37"/>
      <c r="G24" s="37"/>
      <c r="H24" s="37"/>
      <c r="I24" s="37"/>
      <c r="J24" s="37"/>
      <c r="K24" s="37"/>
    </row>
    <row r="25" spans="1:11" ht="24.95" customHeight="1" x14ac:dyDescent="0.4">
      <c r="A25" s="36" t="s">
        <v>837</v>
      </c>
      <c r="B25" s="38" t="s">
        <v>221</v>
      </c>
      <c r="C25" s="38" t="s">
        <v>271</v>
      </c>
      <c r="D25" s="37"/>
      <c r="E25" s="37"/>
      <c r="F25" s="37"/>
      <c r="G25" s="37"/>
      <c r="H25" s="37"/>
      <c r="I25" s="37"/>
      <c r="J25" s="37"/>
      <c r="K25" s="37"/>
    </row>
    <row r="26" spans="1:11" ht="24.95" customHeight="1" x14ac:dyDescent="0.4">
      <c r="A26" s="36" t="s">
        <v>839</v>
      </c>
      <c r="B26" s="38" t="s">
        <v>222</v>
      </c>
      <c r="C26" s="37"/>
      <c r="D26" s="37"/>
      <c r="E26" s="37"/>
      <c r="F26" s="37"/>
      <c r="G26" s="37"/>
      <c r="H26" s="39" t="s">
        <v>223</v>
      </c>
      <c r="I26" s="39" t="s">
        <v>224</v>
      </c>
      <c r="J26" s="39" t="s">
        <v>225</v>
      </c>
      <c r="K26" s="37"/>
    </row>
    <row r="27" spans="1:11" ht="24.95" customHeight="1" x14ac:dyDescent="0.4">
      <c r="A27" s="36" t="s">
        <v>841</v>
      </c>
      <c r="B27" s="63" t="s">
        <v>1052</v>
      </c>
      <c r="C27" s="63" t="s">
        <v>954</v>
      </c>
      <c r="D27" s="37"/>
      <c r="E27" s="37"/>
      <c r="F27" s="37"/>
      <c r="G27" s="37"/>
      <c r="H27" s="37"/>
      <c r="I27" s="37"/>
      <c r="J27" s="37"/>
      <c r="K27" s="37"/>
    </row>
    <row r="28" spans="1:11" ht="24.95" customHeight="1" x14ac:dyDescent="0.4">
      <c r="A28" s="36" t="s">
        <v>843</v>
      </c>
      <c r="B28" s="37"/>
      <c r="C28" s="37"/>
      <c r="D28" s="37"/>
      <c r="E28" s="37"/>
      <c r="F28" s="37"/>
      <c r="G28" s="37"/>
      <c r="H28" s="38" t="s">
        <v>274</v>
      </c>
      <c r="I28" s="38" t="s">
        <v>275</v>
      </c>
      <c r="J28" s="38" t="s">
        <v>276</v>
      </c>
      <c r="K28" s="37"/>
    </row>
    <row r="29" spans="1:11" ht="24.95" customHeight="1" x14ac:dyDescent="0.4">
      <c r="A29" s="36" t="s">
        <v>845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spans="1:11" ht="24.95" customHeight="1" x14ac:dyDescent="0.4">
      <c r="A30" s="36" t="s">
        <v>847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 spans="1:11" ht="24.95" customHeight="1" x14ac:dyDescent="0.4">
      <c r="A31" s="36" t="s">
        <v>849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 spans="1:11" ht="24.95" customHeight="1" x14ac:dyDescent="0.4">
      <c r="A32" s="36" t="s">
        <v>851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 ht="24.95" customHeight="1" x14ac:dyDescent="0.4">
      <c r="A33" s="36" t="s">
        <v>853</v>
      </c>
      <c r="B33" s="37"/>
      <c r="C33" s="37"/>
      <c r="D33" s="38" t="s">
        <v>226</v>
      </c>
      <c r="E33" s="37"/>
      <c r="F33" s="37"/>
      <c r="G33" s="37"/>
      <c r="H33" s="37"/>
      <c r="I33" s="37"/>
      <c r="J33" s="37"/>
      <c r="K33" s="37"/>
    </row>
    <row r="34" spans="1:11" ht="24.95" customHeight="1" x14ac:dyDescent="0.4">
      <c r="A34" s="36" t="s">
        <v>854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 ht="24.95" customHeight="1" x14ac:dyDescent="0.4">
      <c r="A35" s="36" t="s">
        <v>856</v>
      </c>
      <c r="B35" s="38" t="s">
        <v>227</v>
      </c>
      <c r="C35" s="38" t="s">
        <v>272</v>
      </c>
      <c r="D35" s="37"/>
      <c r="E35" s="37"/>
      <c r="F35" s="37"/>
      <c r="G35" s="37"/>
      <c r="H35" s="37"/>
      <c r="I35" s="37"/>
      <c r="J35" s="37"/>
      <c r="K35" s="37"/>
    </row>
    <row r="36" spans="1:11" ht="24.95" customHeight="1" x14ac:dyDescent="0.4">
      <c r="A36" s="36" t="s">
        <v>858</v>
      </c>
      <c r="B36" s="37"/>
      <c r="C36" s="37"/>
      <c r="D36" s="37"/>
      <c r="E36" s="37"/>
      <c r="F36" s="37"/>
      <c r="G36" s="37"/>
      <c r="H36" s="37"/>
      <c r="I36" s="37"/>
      <c r="J36" s="38" t="s">
        <v>228</v>
      </c>
      <c r="K36" s="37"/>
    </row>
    <row r="37" spans="1:11" ht="24.95" customHeight="1" x14ac:dyDescent="0.4">
      <c r="A37" s="36" t="s">
        <v>860</v>
      </c>
      <c r="B37" s="37"/>
      <c r="C37" s="40" t="s">
        <v>866</v>
      </c>
      <c r="D37" s="39" t="s">
        <v>229</v>
      </c>
      <c r="E37" s="37"/>
      <c r="F37" s="37"/>
      <c r="G37" s="37"/>
      <c r="H37" s="37"/>
      <c r="I37" s="37"/>
      <c r="J37" s="37"/>
      <c r="K37" s="37"/>
    </row>
    <row r="38" spans="1:11" ht="24.95" customHeight="1" x14ac:dyDescent="0.4">
      <c r="A38" s="36" t="s">
        <v>861</v>
      </c>
      <c r="B38" s="37"/>
      <c r="C38" s="37"/>
      <c r="D38" s="38" t="s">
        <v>230</v>
      </c>
      <c r="E38" s="38" t="s">
        <v>231</v>
      </c>
      <c r="F38" s="38" t="s">
        <v>232</v>
      </c>
      <c r="G38" s="38" t="s">
        <v>233</v>
      </c>
      <c r="H38" s="38" t="s">
        <v>234</v>
      </c>
      <c r="I38" s="38" t="s">
        <v>235</v>
      </c>
      <c r="J38" s="38" t="s">
        <v>236</v>
      </c>
      <c r="K38" s="37"/>
    </row>
    <row r="39" spans="1:11" ht="24.95" customHeight="1" x14ac:dyDescent="0.4">
      <c r="A39" s="147" t="s">
        <v>884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</row>
    <row r="40" spans="1:11" ht="24.95" customHeight="1" x14ac:dyDescent="0.4">
      <c r="A40" s="36" t="s">
        <v>863</v>
      </c>
      <c r="B40" s="38" t="s">
        <v>237</v>
      </c>
      <c r="C40" s="38" t="s">
        <v>273</v>
      </c>
      <c r="D40" s="37"/>
      <c r="E40" s="37"/>
      <c r="F40" s="37"/>
      <c r="G40" s="37"/>
      <c r="H40" s="37"/>
      <c r="I40" s="37"/>
      <c r="J40" s="37"/>
      <c r="K40" s="37"/>
    </row>
    <row r="41" spans="1:11" ht="24.95" customHeight="1" x14ac:dyDescent="0.4">
      <c r="A41" s="36" t="s">
        <v>865</v>
      </c>
      <c r="B41" s="38" t="s">
        <v>238</v>
      </c>
      <c r="C41" s="38" t="s">
        <v>239</v>
      </c>
      <c r="D41" s="37"/>
      <c r="E41" s="37"/>
      <c r="F41" s="37"/>
      <c r="G41" s="37"/>
      <c r="H41" s="37"/>
      <c r="I41" s="37"/>
      <c r="J41" s="37"/>
      <c r="K41" s="37"/>
    </row>
    <row r="42" spans="1:11" ht="24.95" customHeight="1" x14ac:dyDescent="0.4">
      <c r="A42" s="147" t="s">
        <v>791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</row>
    <row r="43" spans="1:11" ht="24.95" customHeight="1" x14ac:dyDescent="0.4">
      <c r="A43" s="36" t="s">
        <v>867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 ht="24.95" customHeight="1" x14ac:dyDescent="0.4">
      <c r="A44" s="36" t="s">
        <v>868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 ht="24.95" customHeight="1" x14ac:dyDescent="0.4">
      <c r="A45" s="36" t="s">
        <v>883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 ht="24.95" customHeight="1" x14ac:dyDescent="0.4">
      <c r="A46" s="36" t="s">
        <v>869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 ht="24.95" customHeight="1" x14ac:dyDescent="0.4">
      <c r="A47" s="36" t="s">
        <v>871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24.95" customHeight="1" x14ac:dyDescent="0.4">
      <c r="A48" s="36" t="s">
        <v>872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 ht="24.95" customHeight="1" x14ac:dyDescent="0.4">
      <c r="A49" s="36" t="s">
        <v>874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 ht="24.95" customHeight="1" x14ac:dyDescent="0.4">
      <c r="A50" s="36" t="s">
        <v>876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 ht="24.95" customHeight="1" x14ac:dyDescent="0.4">
      <c r="A51" s="36" t="s">
        <v>878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 ht="24.95" customHeight="1" x14ac:dyDescent="0.4">
      <c r="A52" s="36" t="s">
        <v>880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 ht="24.95" customHeight="1" x14ac:dyDescent="0.4">
      <c r="A53" s="36" t="s">
        <v>882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</row>
  </sheetData>
  <mergeCells count="4">
    <mergeCell ref="A2:K2"/>
    <mergeCell ref="A15:K15"/>
    <mergeCell ref="A39:K39"/>
    <mergeCell ref="A42:K42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3421-D85A-4536-9690-6A43ECC295DF}">
  <dimension ref="A1:L6"/>
  <sheetViews>
    <sheetView zoomScale="60" zoomScaleNormal="60" workbookViewId="0">
      <selection activeCell="C2" sqref="C2"/>
    </sheetView>
  </sheetViews>
  <sheetFormatPr defaultRowHeight="13.9" x14ac:dyDescent="0.4"/>
  <cols>
    <col min="1" max="1" width="36.46484375" customWidth="1"/>
    <col min="2" max="2" width="24.3984375" customWidth="1"/>
    <col min="3" max="3" width="30" customWidth="1"/>
    <col min="4" max="4" width="28.6640625" customWidth="1"/>
    <col min="5" max="5" width="28.19921875" customWidth="1"/>
    <col min="6" max="6" width="29.53125" customWidth="1"/>
    <col min="7" max="7" width="26.53125" customWidth="1"/>
    <col min="8" max="8" width="25.59765625" customWidth="1"/>
    <col min="9" max="9" width="25.796875" customWidth="1"/>
    <col min="10" max="10" width="23.796875" customWidth="1"/>
    <col min="11" max="11" width="26.53125" customWidth="1"/>
    <col min="12" max="12" width="22.86328125" customWidth="1"/>
  </cols>
  <sheetData>
    <row r="1" spans="1:12" ht="80.650000000000006" customHeight="1" x14ac:dyDescent="0.4">
      <c r="A1" s="123"/>
      <c r="B1" s="35" t="s">
        <v>788</v>
      </c>
      <c r="C1" s="94" t="s">
        <v>194</v>
      </c>
      <c r="D1" s="94" t="s">
        <v>195</v>
      </c>
      <c r="E1" s="94" t="s">
        <v>196</v>
      </c>
      <c r="F1" s="94" t="s">
        <v>197</v>
      </c>
      <c r="G1" s="94" t="s">
        <v>198</v>
      </c>
      <c r="H1" s="94" t="s">
        <v>199</v>
      </c>
      <c r="I1" s="94" t="s">
        <v>200</v>
      </c>
      <c r="J1" s="94" t="s">
        <v>201</v>
      </c>
      <c r="K1" s="94" t="s">
        <v>202</v>
      </c>
      <c r="L1" s="94" t="s">
        <v>203</v>
      </c>
    </row>
    <row r="2" spans="1:12" ht="120" customHeight="1" x14ac:dyDescent="0.4">
      <c r="A2" s="149" t="s">
        <v>775</v>
      </c>
      <c r="B2" s="88" t="s">
        <v>789</v>
      </c>
      <c r="C2" s="89" t="s">
        <v>714</v>
      </c>
      <c r="D2" s="89" t="s">
        <v>715</v>
      </c>
      <c r="E2" s="89" t="s">
        <v>712</v>
      </c>
      <c r="F2" s="89" t="s">
        <v>712</v>
      </c>
      <c r="G2" s="89" t="s">
        <v>712</v>
      </c>
      <c r="H2" s="89" t="s">
        <v>712</v>
      </c>
      <c r="I2" s="89" t="s">
        <v>712</v>
      </c>
      <c r="J2" s="89" t="s">
        <v>712</v>
      </c>
      <c r="K2" s="89" t="s">
        <v>712</v>
      </c>
      <c r="L2" s="89" t="s">
        <v>712</v>
      </c>
    </row>
    <row r="3" spans="1:12" ht="150" customHeight="1" x14ac:dyDescent="0.4">
      <c r="A3" s="150"/>
      <c r="B3" s="92" t="s">
        <v>790</v>
      </c>
      <c r="C3" s="93" t="s">
        <v>725</v>
      </c>
      <c r="D3" s="93" t="s">
        <v>712</v>
      </c>
      <c r="E3" s="93" t="s">
        <v>716</v>
      </c>
      <c r="F3" s="93" t="s">
        <v>717</v>
      </c>
      <c r="G3" s="93" t="s">
        <v>712</v>
      </c>
      <c r="H3" s="93" t="s">
        <v>170</v>
      </c>
      <c r="I3" s="93" t="s">
        <v>170</v>
      </c>
      <c r="J3" s="93" t="s">
        <v>712</v>
      </c>
      <c r="K3" s="93" t="s">
        <v>712</v>
      </c>
      <c r="L3" s="93" t="s">
        <v>712</v>
      </c>
    </row>
    <row r="4" spans="1:12" ht="140" customHeight="1" x14ac:dyDescent="0.4">
      <c r="A4" s="151"/>
      <c r="B4" s="90" t="s">
        <v>791</v>
      </c>
      <c r="C4" s="91" t="s">
        <v>718</v>
      </c>
      <c r="D4" s="91" t="s">
        <v>730</v>
      </c>
      <c r="E4" s="91" t="s">
        <v>729</v>
      </c>
      <c r="F4" s="91" t="s">
        <v>719</v>
      </c>
      <c r="G4" s="91" t="s">
        <v>560</v>
      </c>
      <c r="H4" s="91" t="s">
        <v>720</v>
      </c>
      <c r="I4" s="91" t="s">
        <v>510</v>
      </c>
      <c r="J4" s="91" t="s">
        <v>712</v>
      </c>
      <c r="K4" s="91" t="s">
        <v>712</v>
      </c>
      <c r="L4" s="91" t="s">
        <v>712</v>
      </c>
    </row>
    <row r="5" spans="1:12" ht="170" customHeight="1" x14ac:dyDescent="0.4">
      <c r="A5" s="149" t="s">
        <v>776</v>
      </c>
      <c r="B5" s="88" t="s">
        <v>789</v>
      </c>
      <c r="C5" s="89" t="s">
        <v>721</v>
      </c>
      <c r="D5" s="89" t="s">
        <v>722</v>
      </c>
      <c r="E5" s="89" t="s">
        <v>727</v>
      </c>
      <c r="F5" s="89" t="s">
        <v>712</v>
      </c>
      <c r="G5" s="89" t="s">
        <v>712</v>
      </c>
      <c r="H5" s="89" t="s">
        <v>712</v>
      </c>
      <c r="I5" s="89" t="s">
        <v>664</v>
      </c>
      <c r="J5" s="89" t="s">
        <v>711</v>
      </c>
      <c r="K5" s="89" t="s">
        <v>724</v>
      </c>
      <c r="L5" s="89" t="s">
        <v>712</v>
      </c>
    </row>
    <row r="6" spans="1:12" ht="73.25" customHeight="1" x14ac:dyDescent="0.4">
      <c r="A6" s="150"/>
      <c r="B6" s="124" t="s">
        <v>790</v>
      </c>
      <c r="C6" s="93" t="s">
        <v>723</v>
      </c>
      <c r="D6" s="93" t="s">
        <v>713</v>
      </c>
      <c r="E6" s="93" t="s">
        <v>728</v>
      </c>
      <c r="F6" s="93" t="s">
        <v>712</v>
      </c>
      <c r="G6" s="93" t="s">
        <v>712</v>
      </c>
      <c r="H6" s="93" t="s">
        <v>712</v>
      </c>
      <c r="I6" s="93" t="s">
        <v>712</v>
      </c>
      <c r="J6" s="93" t="s">
        <v>712</v>
      </c>
      <c r="K6" s="93" t="s">
        <v>712</v>
      </c>
      <c r="L6" s="93" t="s">
        <v>712</v>
      </c>
    </row>
  </sheetData>
  <mergeCells count="2">
    <mergeCell ref="A5:A6"/>
    <mergeCell ref="A2:A4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topLeftCell="A25" zoomScale="60" zoomScaleNormal="60" workbookViewId="0">
      <selection activeCell="I7" sqref="I7"/>
    </sheetView>
  </sheetViews>
  <sheetFormatPr defaultRowHeight="13.9" x14ac:dyDescent="0.4"/>
  <cols>
    <col min="1" max="1" width="17.3984375" customWidth="1"/>
    <col min="2" max="2" width="45" customWidth="1"/>
    <col min="3" max="3" width="18.86328125" customWidth="1"/>
    <col min="4" max="4" width="27.3984375" customWidth="1"/>
    <col min="5" max="5" width="21.33203125" style="2" customWidth="1"/>
    <col min="6" max="6" width="14" style="6" customWidth="1"/>
    <col min="7" max="7" width="13.1328125" customWidth="1"/>
    <col min="8" max="8" width="16" style="1" customWidth="1"/>
    <col min="9" max="9" width="15.46484375" style="1" customWidth="1"/>
    <col min="10" max="10" width="13.265625" customWidth="1"/>
    <col min="11" max="11" width="15.1328125" customWidth="1"/>
    <col min="12" max="12" width="41.1328125" customWidth="1"/>
    <col min="13" max="13" width="61.59765625" customWidth="1"/>
    <col min="14" max="14" width="61.3984375" style="114" customWidth="1"/>
    <col min="15" max="15" width="17.86328125" customWidth="1"/>
    <col min="16" max="16" width="21.86328125" customWidth="1"/>
    <col min="23" max="23" width="14.265625" customWidth="1"/>
    <col min="24" max="24" width="18" customWidth="1"/>
  </cols>
  <sheetData>
    <row r="1" spans="1:15" ht="39.950000000000003" customHeight="1" thickTop="1" thickBot="1" x14ac:dyDescent="0.45">
      <c r="A1" s="157" t="s">
        <v>760</v>
      </c>
      <c r="B1" s="158"/>
      <c r="C1" s="158"/>
      <c r="D1" s="158"/>
      <c r="E1" s="163" t="s">
        <v>795</v>
      </c>
      <c r="F1" s="164"/>
      <c r="G1" s="164"/>
      <c r="H1" s="164"/>
      <c r="I1" s="164"/>
      <c r="J1" s="164"/>
      <c r="K1" s="164"/>
      <c r="L1" s="164"/>
      <c r="M1" s="164"/>
      <c r="N1" s="110"/>
      <c r="O1" s="76"/>
    </row>
    <row r="2" spans="1:15" ht="66.400000000000006" customHeight="1" thickTop="1" thickBot="1" x14ac:dyDescent="0.45">
      <c r="A2" s="120" t="s">
        <v>761</v>
      </c>
      <c r="B2" s="115" t="s">
        <v>146</v>
      </c>
      <c r="C2" s="120" t="s">
        <v>762</v>
      </c>
      <c r="D2" s="23" t="s">
        <v>193</v>
      </c>
      <c r="E2" s="51" t="s">
        <v>336</v>
      </c>
      <c r="F2" s="168" t="s">
        <v>792</v>
      </c>
      <c r="G2" s="166"/>
      <c r="H2" s="167"/>
      <c r="I2" s="50"/>
      <c r="J2" s="51" t="s">
        <v>338</v>
      </c>
      <c r="K2" s="50" t="s">
        <v>337</v>
      </c>
      <c r="L2" s="50"/>
      <c r="M2" s="50"/>
      <c r="N2" s="110"/>
      <c r="O2" s="76"/>
    </row>
    <row r="3" spans="1:15" ht="39.950000000000003" customHeight="1" thickTop="1" thickBot="1" x14ac:dyDescent="0.45">
      <c r="A3" s="159" t="s">
        <v>767</v>
      </c>
      <c r="B3" s="160"/>
      <c r="C3" s="120" t="s">
        <v>763</v>
      </c>
      <c r="D3" s="23" t="s">
        <v>145</v>
      </c>
      <c r="E3" s="125" t="s">
        <v>793</v>
      </c>
      <c r="F3" s="53" t="s">
        <v>339</v>
      </c>
      <c r="G3" s="52" t="s">
        <v>341</v>
      </c>
      <c r="H3" s="53" t="s">
        <v>340</v>
      </c>
      <c r="I3" s="54">
        <v>4213943.43</v>
      </c>
      <c r="J3" s="53" t="s">
        <v>336</v>
      </c>
      <c r="K3" s="54">
        <f>G3/8.314</f>
        <v>-1734.2951647822949</v>
      </c>
      <c r="L3" s="53" t="s">
        <v>338</v>
      </c>
      <c r="M3" s="54">
        <f>I3/-(G3)</f>
        <v>292.25077242208675</v>
      </c>
      <c r="N3" s="110"/>
      <c r="O3" s="76"/>
    </row>
    <row r="4" spans="1:15" ht="56.25" customHeight="1" thickTop="1" thickBot="1" x14ac:dyDescent="0.45">
      <c r="A4" s="120" t="s">
        <v>765</v>
      </c>
      <c r="B4" s="115" t="s">
        <v>142</v>
      </c>
      <c r="C4" s="161" t="s">
        <v>764</v>
      </c>
      <c r="D4" s="162"/>
      <c r="E4" s="125" t="s">
        <v>794</v>
      </c>
      <c r="F4" s="53" t="s">
        <v>339</v>
      </c>
      <c r="G4" s="52" t="s">
        <v>342</v>
      </c>
      <c r="H4" s="53" t="s">
        <v>340</v>
      </c>
      <c r="I4" s="54">
        <v>2744876</v>
      </c>
      <c r="J4" s="53" t="s">
        <v>336</v>
      </c>
      <c r="K4" s="54">
        <f>G4/8.314</f>
        <v>-1087.20230935771</v>
      </c>
      <c r="L4" s="53" t="s">
        <v>338</v>
      </c>
      <c r="M4" s="54">
        <f>I4/-(G4)</f>
        <v>303.67031751299925</v>
      </c>
      <c r="N4" s="110"/>
      <c r="O4" s="76"/>
    </row>
    <row r="5" spans="1:15" ht="53.25" customHeight="1" thickTop="1" thickBot="1" x14ac:dyDescent="0.45">
      <c r="A5" s="120" t="s">
        <v>766</v>
      </c>
      <c r="B5" s="116" t="s">
        <v>143</v>
      </c>
      <c r="C5" s="162"/>
      <c r="D5" s="162"/>
      <c r="E5" s="155" t="s">
        <v>349</v>
      </c>
      <c r="F5" s="156"/>
      <c r="G5" s="50"/>
      <c r="H5" s="50" t="s">
        <v>343</v>
      </c>
      <c r="I5" s="50"/>
      <c r="J5" s="55" t="s">
        <v>347</v>
      </c>
      <c r="K5" s="165" t="s">
        <v>348</v>
      </c>
      <c r="L5" s="166"/>
      <c r="M5" s="167"/>
      <c r="N5" s="110"/>
      <c r="O5" s="76"/>
    </row>
    <row r="6" spans="1:15" ht="30" customHeight="1" thickTop="1" x14ac:dyDescent="0.4">
      <c r="A6" s="152" t="s">
        <v>787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</row>
    <row r="7" spans="1:15" ht="48.4" customHeight="1" x14ac:dyDescent="0.4">
      <c r="A7" s="3" t="s">
        <v>0</v>
      </c>
      <c r="B7" s="4" t="s">
        <v>127</v>
      </c>
      <c r="C7" s="3" t="s">
        <v>125</v>
      </c>
      <c r="D7" s="4" t="s">
        <v>129</v>
      </c>
      <c r="E7" s="26" t="s">
        <v>124</v>
      </c>
      <c r="F7" s="3" t="s">
        <v>1</v>
      </c>
      <c r="G7" s="5" t="s">
        <v>345</v>
      </c>
      <c r="H7" s="5" t="s">
        <v>350</v>
      </c>
      <c r="I7" s="5" t="s">
        <v>344</v>
      </c>
      <c r="J7" s="5" t="s">
        <v>351</v>
      </c>
      <c r="K7" s="5" t="s">
        <v>346</v>
      </c>
      <c r="L7" s="5" t="s">
        <v>700</v>
      </c>
      <c r="M7" s="77" t="s">
        <v>701</v>
      </c>
      <c r="N7" s="111" t="s">
        <v>327</v>
      </c>
      <c r="O7" s="4" t="s">
        <v>2</v>
      </c>
    </row>
    <row r="8" spans="1:15" ht="45" customHeight="1" x14ac:dyDescent="0.4">
      <c r="A8" s="47" t="s">
        <v>3</v>
      </c>
      <c r="B8" s="3" t="s">
        <v>4</v>
      </c>
      <c r="C8" s="3" t="s">
        <v>5</v>
      </c>
      <c r="D8" s="3">
        <v>50</v>
      </c>
      <c r="E8" s="26">
        <v>0.48</v>
      </c>
      <c r="F8" s="3">
        <v>16</v>
      </c>
      <c r="G8" s="29">
        <f>(POWER(D8,0.67)*28)</f>
        <v>385.00638701982547</v>
      </c>
      <c r="H8" s="29">
        <f>(F8+273.15)/$M$3</f>
        <v>0.98939002830894673</v>
      </c>
      <c r="I8" s="58">
        <f>POWER(H8*POWER(EXP(1),(1/H8-1)),$K$3)</f>
        <v>0.90573028669913125</v>
      </c>
      <c r="J8" s="29">
        <f>G8*I8</f>
        <v>348.71194529646323</v>
      </c>
      <c r="K8" s="30">
        <f>POWER(J8,0.08)*POWER(D8,0.336)*(1-POWER(EXP(1),-19.5*D8))</f>
        <v>5.9463609452142521</v>
      </c>
      <c r="L8" s="30">
        <f>LOG10(E8)</f>
        <v>-0.31875876262441277</v>
      </c>
      <c r="M8" s="30">
        <f>LOG10(K8)</f>
        <v>0.77425126742477968</v>
      </c>
      <c r="N8" s="111" t="s">
        <v>281</v>
      </c>
      <c r="O8" s="4" t="s">
        <v>7</v>
      </c>
    </row>
    <row r="9" spans="1:15" ht="45" customHeight="1" x14ac:dyDescent="0.4">
      <c r="A9" s="47" t="s">
        <v>8</v>
      </c>
      <c r="B9" s="3" t="s">
        <v>4</v>
      </c>
      <c r="C9" s="3" t="s">
        <v>9</v>
      </c>
      <c r="D9" s="3">
        <v>263</v>
      </c>
      <c r="E9" s="26">
        <v>0.34</v>
      </c>
      <c r="F9" s="3" t="s">
        <v>10</v>
      </c>
      <c r="G9" s="29">
        <f t="shared" ref="G9:G71" si="0">(POWER(D9,0.67)*28)</f>
        <v>1170.9231241914933</v>
      </c>
      <c r="H9" s="29">
        <f t="shared" ref="H9:H71" si="1">(F9+273.15)/$M$3</f>
        <v>0.94148596330349887</v>
      </c>
      <c r="I9" s="58">
        <f t="shared" ref="I9:I50" si="2">POWER(H9*POWER(EXP(1),(1/H9-1)),$K$3)</f>
        <v>4.0078265849833039E-2</v>
      </c>
      <c r="J9" s="29">
        <f t="shared" ref="J9:J71" si="3">G9*I9</f>
        <v>46.928568261063738</v>
      </c>
      <c r="K9" s="30">
        <f t="shared" ref="K9:K71" si="4">POWER(J9,0.08)*POWER(D9,0.336)*(1-POWER(EXP(1),-19.5*D9))</f>
        <v>8.8474907214908249</v>
      </c>
      <c r="L9" s="30">
        <f t="shared" ref="L9:L64" si="5">LOG10(E9)</f>
        <v>-0.46852108295774486</v>
      </c>
      <c r="M9" s="30">
        <f t="shared" ref="M9:M64" si="6">LOG10(K9)</f>
        <v>0.9468201158580184</v>
      </c>
      <c r="N9" s="111" t="s">
        <v>282</v>
      </c>
      <c r="O9" s="4" t="s">
        <v>11</v>
      </c>
    </row>
    <row r="10" spans="1:15" ht="45" customHeight="1" x14ac:dyDescent="0.4">
      <c r="A10" s="47" t="s">
        <v>22</v>
      </c>
      <c r="B10" s="3" t="s">
        <v>4</v>
      </c>
      <c r="C10" s="3" t="s">
        <v>23</v>
      </c>
      <c r="D10" s="3">
        <v>400</v>
      </c>
      <c r="E10" s="26">
        <v>1.08</v>
      </c>
      <c r="F10" s="3" t="s">
        <v>24</v>
      </c>
      <c r="G10" s="29">
        <f t="shared" si="0"/>
        <v>1550.7372728675932</v>
      </c>
      <c r="H10" s="29">
        <f t="shared" si="1"/>
        <v>0.97912487152206507</v>
      </c>
      <c r="I10" s="58">
        <f t="shared" si="2"/>
        <v>0.677972843042977</v>
      </c>
      <c r="J10" s="29">
        <f t="shared" si="3"/>
        <v>1051.357757698755</v>
      </c>
      <c r="K10" s="30">
        <f t="shared" si="4"/>
        <v>13.062677323779347</v>
      </c>
      <c r="L10" s="30">
        <f t="shared" si="5"/>
        <v>3.342375548694973E-2</v>
      </c>
      <c r="M10" s="30">
        <f t="shared" si="6"/>
        <v>1.1160321989740707</v>
      </c>
      <c r="N10" s="111" t="s">
        <v>283</v>
      </c>
      <c r="O10" s="4" t="s">
        <v>25</v>
      </c>
    </row>
    <row r="11" spans="1:15" ht="45" customHeight="1" x14ac:dyDescent="0.4">
      <c r="A11" s="47" t="s">
        <v>27</v>
      </c>
      <c r="B11" s="3" t="s">
        <v>4</v>
      </c>
      <c r="C11" s="3" t="s">
        <v>28</v>
      </c>
      <c r="D11" s="3">
        <v>2200</v>
      </c>
      <c r="E11" s="26">
        <v>0.85</v>
      </c>
      <c r="F11" s="3" t="s">
        <v>29</v>
      </c>
      <c r="G11" s="29">
        <f t="shared" si="0"/>
        <v>4859.384090614295</v>
      </c>
      <c r="H11" s="29">
        <f t="shared" si="1"/>
        <v>1.020185498669592</v>
      </c>
      <c r="I11" s="58">
        <f t="shared" si="2"/>
        <v>0.70891112369786824</v>
      </c>
      <c r="J11" s="29">
        <f t="shared" si="3"/>
        <v>3444.8714361569237</v>
      </c>
      <c r="K11" s="30">
        <f t="shared" si="4"/>
        <v>25.46993650163051</v>
      </c>
      <c r="L11" s="30">
        <f t="shared" si="5"/>
        <v>-7.0581074285707285E-2</v>
      </c>
      <c r="M11" s="30">
        <f t="shared" si="6"/>
        <v>1.4060278622378257</v>
      </c>
      <c r="N11" s="111" t="s">
        <v>284</v>
      </c>
      <c r="O11" s="4" t="s">
        <v>30</v>
      </c>
    </row>
    <row r="12" spans="1:15" ht="45" customHeight="1" x14ac:dyDescent="0.4">
      <c r="A12" s="47" t="s">
        <v>32</v>
      </c>
      <c r="B12" s="3" t="s">
        <v>4</v>
      </c>
      <c r="C12" s="3" t="s">
        <v>33</v>
      </c>
      <c r="D12" s="3">
        <v>7.7</v>
      </c>
      <c r="E12" s="26">
        <v>0.34</v>
      </c>
      <c r="F12" s="3" t="s">
        <v>34</v>
      </c>
      <c r="G12" s="29">
        <f t="shared" si="0"/>
        <v>109.92761794388697</v>
      </c>
      <c r="H12" s="29">
        <f t="shared" si="1"/>
        <v>0.99623346616686792</v>
      </c>
      <c r="I12" s="58">
        <f t="shared" si="2"/>
        <v>0.98771204744322549</v>
      </c>
      <c r="J12" s="29">
        <f t="shared" si="3"/>
        <v>108.57683258991325</v>
      </c>
      <c r="K12" s="30">
        <f t="shared" si="4"/>
        <v>2.8888158424046217</v>
      </c>
      <c r="L12" s="30">
        <f t="shared" si="5"/>
        <v>-0.46852108295774486</v>
      </c>
      <c r="M12" s="30">
        <f t="shared" si="6"/>
        <v>0.46071985711706753</v>
      </c>
      <c r="N12" s="111" t="s">
        <v>285</v>
      </c>
      <c r="O12" s="4" t="s">
        <v>131</v>
      </c>
    </row>
    <row r="13" spans="1:15" ht="45" customHeight="1" x14ac:dyDescent="0.4">
      <c r="A13" s="47" t="s">
        <v>37</v>
      </c>
      <c r="B13" s="3" t="s">
        <v>4</v>
      </c>
      <c r="C13" s="3" t="s">
        <v>38</v>
      </c>
      <c r="D13" s="3">
        <v>2.2999999999999998</v>
      </c>
      <c r="E13" s="26">
        <v>0.33</v>
      </c>
      <c r="F13" s="3" t="s">
        <v>6</v>
      </c>
      <c r="G13" s="29">
        <f t="shared" si="0"/>
        <v>48.923293000304547</v>
      </c>
      <c r="H13" s="29">
        <f t="shared" si="1"/>
        <v>0.98939002830894673</v>
      </c>
      <c r="I13" s="58">
        <f t="shared" si="2"/>
        <v>0.90573028669913125</v>
      </c>
      <c r="J13" s="29">
        <f t="shared" si="3"/>
        <v>44.311308195431437</v>
      </c>
      <c r="K13" s="30">
        <f t="shared" si="4"/>
        <v>1.7916852510748404</v>
      </c>
      <c r="L13" s="30">
        <f t="shared" si="5"/>
        <v>-0.48148606012211248</v>
      </c>
      <c r="M13" s="30">
        <f t="shared" si="6"/>
        <v>0.25326171864792102</v>
      </c>
      <c r="N13" s="111" t="s">
        <v>281</v>
      </c>
      <c r="O13" s="4" t="s">
        <v>7</v>
      </c>
    </row>
    <row r="14" spans="1:15" ht="45" customHeight="1" x14ac:dyDescent="0.4">
      <c r="A14" s="47" t="s">
        <v>122</v>
      </c>
      <c r="B14" s="3" t="s">
        <v>4</v>
      </c>
      <c r="C14" s="3" t="s">
        <v>41</v>
      </c>
      <c r="D14" s="3">
        <v>266</v>
      </c>
      <c r="E14" s="26">
        <v>0.69</v>
      </c>
      <c r="F14" s="3" t="s">
        <v>42</v>
      </c>
      <c r="G14" s="29">
        <f t="shared" si="0"/>
        <v>1179.8552460065148</v>
      </c>
      <c r="H14" s="29">
        <f t="shared" si="1"/>
        <v>1.0236072175985524</v>
      </c>
      <c r="I14" s="58">
        <f t="shared" si="2"/>
        <v>0.62597506862311647</v>
      </c>
      <c r="J14" s="29">
        <f t="shared" si="3"/>
        <v>738.55996858427204</v>
      </c>
      <c r="K14" s="30">
        <f t="shared" si="4"/>
        <v>11.072127827283364</v>
      </c>
      <c r="L14" s="30">
        <f t="shared" si="5"/>
        <v>-0.16115090926274472</v>
      </c>
      <c r="M14" s="30">
        <f t="shared" si="6"/>
        <v>1.0442310910544585</v>
      </c>
      <c r="N14" s="111" t="s">
        <v>286</v>
      </c>
      <c r="O14" s="4" t="s">
        <v>11</v>
      </c>
    </row>
    <row r="15" spans="1:15" ht="45" customHeight="1" x14ac:dyDescent="0.4">
      <c r="A15" s="47" t="s">
        <v>121</v>
      </c>
      <c r="B15" s="3" t="s">
        <v>4</v>
      </c>
      <c r="C15" s="3" t="s">
        <v>44</v>
      </c>
      <c r="D15" s="3">
        <v>0.76</v>
      </c>
      <c r="E15" s="26">
        <v>0.46</v>
      </c>
      <c r="F15" s="3" t="s">
        <v>42</v>
      </c>
      <c r="G15" s="29">
        <f t="shared" si="0"/>
        <v>23.297168359590561</v>
      </c>
      <c r="H15" s="29">
        <f t="shared" si="1"/>
        <v>1.0236072175985524</v>
      </c>
      <c r="I15" s="58">
        <f t="shared" si="2"/>
        <v>0.62597506862311647</v>
      </c>
      <c r="J15" s="29">
        <f t="shared" si="3"/>
        <v>14.583446562618999</v>
      </c>
      <c r="K15" s="30">
        <f t="shared" si="4"/>
        <v>1.1299572732028955</v>
      </c>
      <c r="L15" s="30">
        <f t="shared" si="5"/>
        <v>-0.33724216831842591</v>
      </c>
      <c r="M15" s="30">
        <f t="shared" si="6"/>
        <v>5.3062021923212271E-2</v>
      </c>
      <c r="N15" s="111" t="s">
        <v>286</v>
      </c>
      <c r="O15" s="4" t="s">
        <v>45</v>
      </c>
    </row>
    <row r="16" spans="1:15" ht="45" customHeight="1" x14ac:dyDescent="0.4">
      <c r="A16" s="47" t="s">
        <v>120</v>
      </c>
      <c r="B16" s="3" t="s">
        <v>4</v>
      </c>
      <c r="C16" s="3" t="s">
        <v>46</v>
      </c>
      <c r="D16" s="3">
        <v>11.9</v>
      </c>
      <c r="E16" s="26">
        <v>0.52</v>
      </c>
      <c r="F16" s="3" t="s">
        <v>48</v>
      </c>
      <c r="G16" s="29">
        <f t="shared" si="0"/>
        <v>147.15482123895842</v>
      </c>
      <c r="H16" s="29">
        <f t="shared" si="1"/>
        <v>1.0338723743854341</v>
      </c>
      <c r="I16" s="58">
        <f t="shared" si="2"/>
        <v>0.38611102969351824</v>
      </c>
      <c r="J16" s="29">
        <f t="shared" si="3"/>
        <v>56.818099552939842</v>
      </c>
      <c r="K16" s="30">
        <f t="shared" si="4"/>
        <v>3.1749925845431681</v>
      </c>
      <c r="L16" s="30">
        <f t="shared" si="5"/>
        <v>-0.28399665636520083</v>
      </c>
      <c r="M16" s="30">
        <f t="shared" si="6"/>
        <v>0.50174271529862635</v>
      </c>
      <c r="N16" s="111" t="s">
        <v>321</v>
      </c>
      <c r="O16" s="4" t="s">
        <v>11</v>
      </c>
    </row>
    <row r="17" spans="1:15" ht="45" customHeight="1" x14ac:dyDescent="0.4">
      <c r="A17" s="47" t="s">
        <v>119</v>
      </c>
      <c r="B17" s="3" t="s">
        <v>4</v>
      </c>
      <c r="C17" s="3" t="s">
        <v>49</v>
      </c>
      <c r="D17" s="3">
        <v>26.1</v>
      </c>
      <c r="E17" s="26">
        <v>0.59</v>
      </c>
      <c r="F17" s="3" t="s">
        <v>50</v>
      </c>
      <c r="G17" s="29">
        <f t="shared" si="0"/>
        <v>249.06182797819369</v>
      </c>
      <c r="H17" s="29">
        <f t="shared" si="1"/>
        <v>1.0304506554564736</v>
      </c>
      <c r="I17" s="58">
        <f t="shared" si="2"/>
        <v>0.46185985922642098</v>
      </c>
      <c r="J17" s="29">
        <f t="shared" si="3"/>
        <v>115.03166080868361</v>
      </c>
      <c r="K17" s="30">
        <f t="shared" si="4"/>
        <v>4.3737766496146788</v>
      </c>
      <c r="L17" s="30">
        <f t="shared" si="5"/>
        <v>-0.22914798835785583</v>
      </c>
      <c r="M17" s="30">
        <f t="shared" si="6"/>
        <v>0.64085660167452163</v>
      </c>
      <c r="N17" s="111" t="s">
        <v>321</v>
      </c>
      <c r="O17" s="4" t="s">
        <v>11</v>
      </c>
    </row>
    <row r="18" spans="1:15" ht="45" customHeight="1" x14ac:dyDescent="0.4">
      <c r="A18" s="47" t="s">
        <v>118</v>
      </c>
      <c r="B18" s="3" t="s">
        <v>4</v>
      </c>
      <c r="C18" s="3" t="s">
        <v>51</v>
      </c>
      <c r="D18" s="3">
        <v>27</v>
      </c>
      <c r="E18" s="26">
        <v>0.63</v>
      </c>
      <c r="F18" s="3" t="s">
        <v>53</v>
      </c>
      <c r="G18" s="29">
        <f t="shared" si="0"/>
        <v>254.78376636833917</v>
      </c>
      <c r="H18" s="29">
        <f t="shared" si="1"/>
        <v>1.0099203418827101</v>
      </c>
      <c r="I18" s="58">
        <f t="shared" si="2"/>
        <v>0.91922676664614933</v>
      </c>
      <c r="J18" s="29">
        <f t="shared" si="3"/>
        <v>234.20405775269634</v>
      </c>
      <c r="K18" s="30">
        <f t="shared" si="4"/>
        <v>4.6828018146619179</v>
      </c>
      <c r="L18" s="30">
        <f t="shared" si="5"/>
        <v>-0.20065945054641829</v>
      </c>
      <c r="M18" s="30">
        <f t="shared" si="6"/>
        <v>0.67050577797852673</v>
      </c>
      <c r="N18" s="111" t="s">
        <v>287</v>
      </c>
      <c r="O18" s="4" t="s">
        <v>11</v>
      </c>
    </row>
    <row r="19" spans="1:15" ht="45" customHeight="1" x14ac:dyDescent="0.4">
      <c r="A19" s="47" t="s">
        <v>117</v>
      </c>
      <c r="B19" s="3" t="s">
        <v>4</v>
      </c>
      <c r="C19" s="3" t="s">
        <v>54</v>
      </c>
      <c r="D19" s="3">
        <v>5.2</v>
      </c>
      <c r="E19" s="26">
        <v>0.42</v>
      </c>
      <c r="F19" s="3" t="s">
        <v>53</v>
      </c>
      <c r="G19" s="29">
        <f t="shared" si="0"/>
        <v>84.504584668119378</v>
      </c>
      <c r="H19" s="29">
        <f t="shared" si="1"/>
        <v>1.0099203418827101</v>
      </c>
      <c r="I19" s="58">
        <f t="shared" si="2"/>
        <v>0.91922676664614933</v>
      </c>
      <c r="J19" s="29">
        <f t="shared" si="3"/>
        <v>77.678876131251144</v>
      </c>
      <c r="K19" s="30">
        <f t="shared" si="4"/>
        <v>2.4649116539585414</v>
      </c>
      <c r="L19" s="30">
        <f t="shared" si="5"/>
        <v>-0.37675070960209955</v>
      </c>
      <c r="M19" s="30">
        <f t="shared" si="6"/>
        <v>0.39180135814230299</v>
      </c>
      <c r="N19" s="111" t="s">
        <v>288</v>
      </c>
      <c r="O19" s="4" t="s">
        <v>7</v>
      </c>
    </row>
    <row r="20" spans="1:15" ht="45" customHeight="1" x14ac:dyDescent="0.4">
      <c r="A20" s="47" t="s">
        <v>116</v>
      </c>
      <c r="B20" s="3" t="s">
        <v>4</v>
      </c>
      <c r="C20" s="3" t="s">
        <v>57</v>
      </c>
      <c r="D20" s="3">
        <v>97</v>
      </c>
      <c r="E20" s="26">
        <v>0.71</v>
      </c>
      <c r="F20" s="3" t="s">
        <v>29</v>
      </c>
      <c r="G20" s="29">
        <f t="shared" si="0"/>
        <v>600.19875924755797</v>
      </c>
      <c r="H20" s="29">
        <f t="shared" si="1"/>
        <v>1.020185498669592</v>
      </c>
      <c r="I20" s="58">
        <f t="shared" si="2"/>
        <v>0.70891112369786824</v>
      </c>
      <c r="J20" s="29">
        <f t="shared" si="3"/>
        <v>425.4875768602526</v>
      </c>
      <c r="K20" s="30">
        <f t="shared" si="4"/>
        <v>7.5485972315941652</v>
      </c>
      <c r="L20" s="30">
        <f t="shared" si="5"/>
        <v>-0.14874165128092473</v>
      </c>
      <c r="M20" s="30">
        <f t="shared" si="6"/>
        <v>0.8778662534596231</v>
      </c>
      <c r="N20" s="111" t="s">
        <v>321</v>
      </c>
      <c r="O20" s="4" t="s">
        <v>11</v>
      </c>
    </row>
    <row r="21" spans="1:15" ht="45" customHeight="1" x14ac:dyDescent="0.4">
      <c r="A21" s="47" t="s">
        <v>115</v>
      </c>
      <c r="B21" s="3" t="s">
        <v>4</v>
      </c>
      <c r="C21" s="3" t="s">
        <v>58</v>
      </c>
      <c r="D21" s="3">
        <v>105</v>
      </c>
      <c r="E21" s="26">
        <v>0.44</v>
      </c>
      <c r="F21" s="3" t="s">
        <v>53</v>
      </c>
      <c r="G21" s="29">
        <f t="shared" si="0"/>
        <v>632.92880583288911</v>
      </c>
      <c r="H21" s="29">
        <f t="shared" si="1"/>
        <v>1.0099203418827101</v>
      </c>
      <c r="I21" s="58">
        <f t="shared" si="2"/>
        <v>0.91922676664614933</v>
      </c>
      <c r="J21" s="29">
        <f t="shared" si="3"/>
        <v>581.8050997029751</v>
      </c>
      <c r="K21" s="30">
        <f t="shared" si="4"/>
        <v>7.9488043296243225</v>
      </c>
      <c r="L21" s="30">
        <f t="shared" si="5"/>
        <v>-0.35654732351381258</v>
      </c>
      <c r="M21" s="30">
        <f t="shared" si="6"/>
        <v>0.90030180637983304</v>
      </c>
      <c r="N21" s="111" t="s">
        <v>289</v>
      </c>
      <c r="O21" s="4" t="s">
        <v>11</v>
      </c>
    </row>
    <row r="22" spans="1:15" ht="45" customHeight="1" x14ac:dyDescent="0.4">
      <c r="A22" s="47" t="s">
        <v>114</v>
      </c>
      <c r="B22" s="3" t="s">
        <v>4</v>
      </c>
      <c r="C22" s="3" t="s">
        <v>61</v>
      </c>
      <c r="D22" s="3">
        <v>198</v>
      </c>
      <c r="E22" s="26">
        <v>1.1000000000000001</v>
      </c>
      <c r="F22" s="3" t="s">
        <v>62</v>
      </c>
      <c r="G22" s="29">
        <f t="shared" si="0"/>
        <v>968.10777679258911</v>
      </c>
      <c r="H22" s="29">
        <f t="shared" si="1"/>
        <v>1.0030769040247891</v>
      </c>
      <c r="I22" s="58">
        <f t="shared" si="2"/>
        <v>0.99185731704036495</v>
      </c>
      <c r="J22" s="29">
        <f t="shared" si="3"/>
        <v>960.22478209540986</v>
      </c>
      <c r="K22" s="30">
        <f t="shared" si="4"/>
        <v>10.239278055352104</v>
      </c>
      <c r="L22" s="30">
        <f t="shared" si="5"/>
        <v>4.1392685158225077E-2</v>
      </c>
      <c r="M22" s="30">
        <f t="shared" si="6"/>
        <v>1.0102693367540814</v>
      </c>
      <c r="N22" s="111" t="s">
        <v>290</v>
      </c>
      <c r="O22" s="4" t="s">
        <v>11</v>
      </c>
    </row>
    <row r="23" spans="1:15" ht="45" customHeight="1" x14ac:dyDescent="0.4">
      <c r="A23" s="47" t="s">
        <v>113</v>
      </c>
      <c r="B23" s="3" t="s">
        <v>4</v>
      </c>
      <c r="C23" s="3" t="s">
        <v>63</v>
      </c>
      <c r="D23" s="3">
        <v>1.18</v>
      </c>
      <c r="E23" s="26">
        <v>0.42</v>
      </c>
      <c r="F23" s="3" t="s">
        <v>24</v>
      </c>
      <c r="G23" s="29">
        <f t="shared" si="0"/>
        <v>31.283762217971159</v>
      </c>
      <c r="H23" s="29">
        <f t="shared" si="1"/>
        <v>0.97912487152206507</v>
      </c>
      <c r="I23" s="58">
        <f t="shared" si="2"/>
        <v>0.677972843042977</v>
      </c>
      <c r="J23" s="29">
        <f t="shared" si="3"/>
        <v>21.209541211998374</v>
      </c>
      <c r="K23" s="30">
        <f t="shared" si="4"/>
        <v>1.3498168846294682</v>
      </c>
      <c r="L23" s="30">
        <f t="shared" si="5"/>
        <v>-0.37675070960209955</v>
      </c>
      <c r="M23" s="30">
        <f t="shared" si="6"/>
        <v>0.13027485635503966</v>
      </c>
      <c r="N23" s="111" t="s">
        <v>291</v>
      </c>
      <c r="O23" s="4" t="s">
        <v>7</v>
      </c>
    </row>
    <row r="24" spans="1:15" ht="45" customHeight="1" x14ac:dyDescent="0.4">
      <c r="A24" s="47" t="s">
        <v>112</v>
      </c>
      <c r="B24" s="3" t="s">
        <v>4</v>
      </c>
      <c r="C24" s="3" t="s">
        <v>65</v>
      </c>
      <c r="D24" s="3">
        <v>10.3</v>
      </c>
      <c r="E24" s="26">
        <v>0.36</v>
      </c>
      <c r="F24" s="3" t="s">
        <v>34</v>
      </c>
      <c r="G24" s="29">
        <f t="shared" si="0"/>
        <v>133.58539282503233</v>
      </c>
      <c r="H24" s="29">
        <f t="shared" si="1"/>
        <v>0.99623346616686792</v>
      </c>
      <c r="I24" s="58">
        <f t="shared" si="2"/>
        <v>0.98771204744322549</v>
      </c>
      <c r="J24" s="29">
        <f t="shared" si="3"/>
        <v>131.94390185572024</v>
      </c>
      <c r="K24" s="30">
        <f t="shared" si="4"/>
        <v>3.2355227164896347</v>
      </c>
      <c r="L24" s="30">
        <f t="shared" si="5"/>
        <v>-0.44369749923271273</v>
      </c>
      <c r="M24" s="30">
        <f t="shared" si="6"/>
        <v>0.50994445333500371</v>
      </c>
      <c r="N24" s="111" t="s">
        <v>292</v>
      </c>
      <c r="O24" s="4" t="s">
        <v>7</v>
      </c>
    </row>
    <row r="25" spans="1:15" ht="45" customHeight="1" x14ac:dyDescent="0.4">
      <c r="A25" s="47" t="s">
        <v>699</v>
      </c>
      <c r="B25" s="3" t="s">
        <v>4</v>
      </c>
      <c r="C25" s="3">
        <v>6.22</v>
      </c>
      <c r="D25" s="3">
        <v>4746</v>
      </c>
      <c r="E25" s="26">
        <v>1.1000000000000001</v>
      </c>
      <c r="F25" s="3">
        <v>25.5</v>
      </c>
      <c r="G25" s="29">
        <f t="shared" si="0"/>
        <v>8133.8772303581363</v>
      </c>
      <c r="H25" s="29">
        <f t="shared" si="1"/>
        <v>1.0218963581340721</v>
      </c>
      <c r="I25" s="58">
        <f t="shared" si="2"/>
        <v>0.66770520927378507</v>
      </c>
      <c r="J25" s="29">
        <f t="shared" si="3"/>
        <v>5431.0321983035547</v>
      </c>
      <c r="K25" s="30">
        <f t="shared" si="4"/>
        <v>34.200834958476143</v>
      </c>
      <c r="L25" s="30">
        <f t="shared" si="5"/>
        <v>4.1392685158225077E-2</v>
      </c>
      <c r="M25" s="30">
        <f t="shared" si="6"/>
        <v>1.5340367087880766</v>
      </c>
      <c r="N25" s="111" t="s">
        <v>322</v>
      </c>
      <c r="O25" s="4" t="s">
        <v>11</v>
      </c>
    </row>
    <row r="26" spans="1:15" ht="45" customHeight="1" x14ac:dyDescent="0.4">
      <c r="A26" s="47" t="s">
        <v>698</v>
      </c>
      <c r="B26" s="3" t="s">
        <v>4</v>
      </c>
      <c r="C26" s="3">
        <v>2</v>
      </c>
      <c r="D26" s="3">
        <v>70</v>
      </c>
      <c r="E26" s="26">
        <v>0.9</v>
      </c>
      <c r="F26" s="3">
        <v>18</v>
      </c>
      <c r="G26" s="29">
        <f t="shared" si="0"/>
        <v>482.36270079565134</v>
      </c>
      <c r="H26" s="29">
        <f t="shared" si="1"/>
        <v>0.99623346616686792</v>
      </c>
      <c r="I26" s="58">
        <f t="shared" si="2"/>
        <v>0.98771204744322549</v>
      </c>
      <c r="J26" s="29">
        <f t="shared" si="3"/>
        <v>476.43545081311674</v>
      </c>
      <c r="K26" s="30">
        <f t="shared" si="4"/>
        <v>6.8264241175949145</v>
      </c>
      <c r="L26" s="30">
        <f t="shared" si="5"/>
        <v>-4.5757490560675115E-2</v>
      </c>
      <c r="M26" s="30">
        <f t="shared" si="6"/>
        <v>0.8341932669794232</v>
      </c>
      <c r="N26" s="111" t="s">
        <v>323</v>
      </c>
      <c r="O26" s="4" t="s">
        <v>11</v>
      </c>
    </row>
    <row r="27" spans="1:15" ht="45" customHeight="1" x14ac:dyDescent="0.4">
      <c r="A27" s="47" t="s">
        <v>132</v>
      </c>
      <c r="B27" s="3" t="s">
        <v>4</v>
      </c>
      <c r="C27" s="3">
        <v>4.3</v>
      </c>
      <c r="D27" s="8">
        <v>721</v>
      </c>
      <c r="E27" s="26">
        <v>0.94</v>
      </c>
      <c r="F27" s="3">
        <v>15.2</v>
      </c>
      <c r="G27" s="29">
        <f t="shared" si="0"/>
        <v>2301.3075310689505</v>
      </c>
      <c r="H27" s="29">
        <f t="shared" si="1"/>
        <v>0.98665265316577833</v>
      </c>
      <c r="I27" s="58">
        <f t="shared" si="2"/>
        <v>0.85446910642763629</v>
      </c>
      <c r="J27" s="29">
        <f t="shared" si="3"/>
        <v>1966.396189687676</v>
      </c>
      <c r="K27" s="30">
        <f t="shared" si="4"/>
        <v>16.740172576134722</v>
      </c>
      <c r="L27" s="30">
        <f t="shared" si="5"/>
        <v>-2.6872146400301365E-2</v>
      </c>
      <c r="M27" s="30">
        <f t="shared" si="6"/>
        <v>1.2237599308661233</v>
      </c>
      <c r="N27" s="111" t="s">
        <v>324</v>
      </c>
      <c r="O27" s="4" t="s">
        <v>11</v>
      </c>
    </row>
    <row r="28" spans="1:15" ht="45" customHeight="1" x14ac:dyDescent="0.4">
      <c r="A28" s="47" t="s">
        <v>67</v>
      </c>
      <c r="B28" s="3" t="s">
        <v>4</v>
      </c>
      <c r="C28" s="3" t="s">
        <v>68</v>
      </c>
      <c r="D28" s="3">
        <v>5</v>
      </c>
      <c r="E28" s="26">
        <v>0.71</v>
      </c>
      <c r="F28" s="3" t="s">
        <v>24</v>
      </c>
      <c r="G28" s="29">
        <f t="shared" si="0"/>
        <v>82.312905966461116</v>
      </c>
      <c r="H28" s="29">
        <f t="shared" si="1"/>
        <v>0.97912487152206507</v>
      </c>
      <c r="I28" s="58">
        <f t="shared" si="2"/>
        <v>0.677972843042977</v>
      </c>
      <c r="J28" s="29">
        <f t="shared" si="3"/>
        <v>55.805914877210867</v>
      </c>
      <c r="K28" s="30">
        <f t="shared" si="4"/>
        <v>2.3691269879947177</v>
      </c>
      <c r="L28" s="30">
        <f t="shared" si="5"/>
        <v>-0.14874165128092473</v>
      </c>
      <c r="M28" s="30">
        <f t="shared" si="6"/>
        <v>0.37458834004200947</v>
      </c>
      <c r="N28" s="111" t="s">
        <v>293</v>
      </c>
      <c r="O28" s="4" t="s">
        <v>7</v>
      </c>
    </row>
    <row r="29" spans="1:15" ht="45" customHeight="1" x14ac:dyDescent="0.4">
      <c r="A29" s="47" t="s">
        <v>111</v>
      </c>
      <c r="B29" s="3" t="s">
        <v>4</v>
      </c>
      <c r="C29" s="3" t="s">
        <v>15</v>
      </c>
      <c r="D29" s="3">
        <v>1.01</v>
      </c>
      <c r="E29" s="26">
        <v>0.22</v>
      </c>
      <c r="F29" s="3" t="s">
        <v>60</v>
      </c>
      <c r="G29" s="29">
        <f t="shared" si="0"/>
        <v>28.187291824353242</v>
      </c>
      <c r="H29" s="29">
        <f t="shared" si="1"/>
        <v>0.97570315259310458</v>
      </c>
      <c r="I29" s="58">
        <f t="shared" si="2"/>
        <v>0.58921851050046203</v>
      </c>
      <c r="J29" s="29">
        <f t="shared" si="3"/>
        <v>16.60847410378727</v>
      </c>
      <c r="K29" s="30">
        <f t="shared" si="4"/>
        <v>1.2562566076514516</v>
      </c>
      <c r="L29" s="30">
        <f t="shared" si="5"/>
        <v>-0.65757731917779372</v>
      </c>
      <c r="M29" s="30">
        <f t="shared" si="6"/>
        <v>9.9078359070249145E-2</v>
      </c>
      <c r="N29" s="111" t="s">
        <v>294</v>
      </c>
      <c r="O29" s="4" t="s">
        <v>7</v>
      </c>
    </row>
    <row r="30" spans="1:15" ht="45" customHeight="1" x14ac:dyDescent="0.4">
      <c r="A30" s="47" t="s">
        <v>89</v>
      </c>
      <c r="B30" s="3" t="s">
        <v>4</v>
      </c>
      <c r="C30" s="3" t="s">
        <v>69</v>
      </c>
      <c r="D30" s="3">
        <v>3.3</v>
      </c>
      <c r="E30" s="26">
        <v>0.75</v>
      </c>
      <c r="F30" s="3" t="s">
        <v>66</v>
      </c>
      <c r="G30" s="29">
        <f t="shared" si="0"/>
        <v>62.310662825876513</v>
      </c>
      <c r="H30" s="29">
        <f t="shared" si="1"/>
        <v>0.98596830937998625</v>
      </c>
      <c r="I30" s="58">
        <f t="shared" si="2"/>
        <v>0.84031653120777949</v>
      </c>
      <c r="J30" s="29">
        <f t="shared" si="3"/>
        <v>52.360680043098085</v>
      </c>
      <c r="K30" s="30">
        <f t="shared" si="4"/>
        <v>2.0499397935319097</v>
      </c>
      <c r="L30" s="30">
        <f t="shared" si="5"/>
        <v>-0.12493873660829995</v>
      </c>
      <c r="M30" s="30">
        <f t="shared" si="6"/>
        <v>0.31174110606998129</v>
      </c>
      <c r="N30" s="111" t="s">
        <v>295</v>
      </c>
      <c r="O30" s="4" t="s">
        <v>11</v>
      </c>
    </row>
    <row r="31" spans="1:15" ht="45" customHeight="1" x14ac:dyDescent="0.4">
      <c r="A31" s="47" t="s">
        <v>90</v>
      </c>
      <c r="B31" s="3" t="s">
        <v>4</v>
      </c>
      <c r="C31" s="3" t="s">
        <v>40</v>
      </c>
      <c r="D31" s="3">
        <v>2.5</v>
      </c>
      <c r="E31" s="26">
        <v>0.67</v>
      </c>
      <c r="F31" s="3" t="s">
        <v>56</v>
      </c>
      <c r="G31" s="29">
        <f t="shared" si="0"/>
        <v>51.734211847799621</v>
      </c>
      <c r="H31" s="29">
        <f t="shared" si="1"/>
        <v>0.97228143366414399</v>
      </c>
      <c r="I31" s="58">
        <f t="shared" si="2"/>
        <v>0.5007440036440779</v>
      </c>
      <c r="J31" s="29">
        <f t="shared" si="3"/>
        <v>25.905596366038072</v>
      </c>
      <c r="K31" s="30">
        <f t="shared" si="4"/>
        <v>1.7651407065127414</v>
      </c>
      <c r="L31" s="30">
        <f t="shared" si="5"/>
        <v>-0.17392519729917355</v>
      </c>
      <c r="M31" s="30">
        <f t="shared" si="6"/>
        <v>0.24677933047534345</v>
      </c>
      <c r="N31" s="111" t="s">
        <v>296</v>
      </c>
      <c r="O31" s="4" t="s">
        <v>7</v>
      </c>
    </row>
    <row r="32" spans="1:15" ht="45" customHeight="1" x14ac:dyDescent="0.4">
      <c r="A32" s="47" t="s">
        <v>91</v>
      </c>
      <c r="B32" s="3" t="s">
        <v>4</v>
      </c>
      <c r="C32" s="3" t="s">
        <v>72</v>
      </c>
      <c r="D32" s="3">
        <v>6.2</v>
      </c>
      <c r="E32" s="26">
        <v>0.64</v>
      </c>
      <c r="F32" s="3" t="s">
        <v>66</v>
      </c>
      <c r="G32" s="29">
        <f t="shared" si="0"/>
        <v>95.073714788172126</v>
      </c>
      <c r="H32" s="29">
        <f t="shared" si="1"/>
        <v>0.98596830937998625</v>
      </c>
      <c r="I32" s="58">
        <f t="shared" si="2"/>
        <v>0.84031653120777949</v>
      </c>
      <c r="J32" s="29">
        <f t="shared" si="3"/>
        <v>79.892014219834564</v>
      </c>
      <c r="K32" s="30">
        <f t="shared" si="4"/>
        <v>2.6208603301995326</v>
      </c>
      <c r="L32" s="30">
        <f t="shared" si="5"/>
        <v>-0.19382002601611281</v>
      </c>
      <c r="M32" s="30">
        <f t="shared" si="6"/>
        <v>0.418443877322076</v>
      </c>
      <c r="N32" s="111" t="s">
        <v>297</v>
      </c>
      <c r="O32" s="4" t="s">
        <v>7</v>
      </c>
    </row>
    <row r="33" spans="1:15" ht="45" customHeight="1" x14ac:dyDescent="0.4">
      <c r="A33" s="47" t="s">
        <v>92</v>
      </c>
      <c r="B33" s="3" t="s">
        <v>4</v>
      </c>
      <c r="C33" s="3" t="s">
        <v>73</v>
      </c>
      <c r="D33" s="3">
        <v>2.14</v>
      </c>
      <c r="E33" s="26">
        <v>0.69</v>
      </c>
      <c r="F33" s="3" t="s">
        <v>74</v>
      </c>
      <c r="G33" s="29">
        <f t="shared" si="0"/>
        <v>46.616027307057131</v>
      </c>
      <c r="H33" s="29">
        <f t="shared" si="1"/>
        <v>1.0064986229537496</v>
      </c>
      <c r="I33" s="58">
        <f t="shared" si="2"/>
        <v>0.9643447258943314</v>
      </c>
      <c r="J33" s="29">
        <f t="shared" si="3"/>
        <v>44.953920075706677</v>
      </c>
      <c r="K33" s="30">
        <f t="shared" si="4"/>
        <v>1.7508157039855281</v>
      </c>
      <c r="L33" s="30">
        <f t="shared" si="5"/>
        <v>-0.16115090926274472</v>
      </c>
      <c r="M33" s="30">
        <f t="shared" si="6"/>
        <v>0.24324043337383397</v>
      </c>
      <c r="N33" s="111" t="s">
        <v>298</v>
      </c>
      <c r="O33" s="4" t="s">
        <v>7</v>
      </c>
    </row>
    <row r="34" spans="1:15" ht="45" customHeight="1" x14ac:dyDescent="0.4">
      <c r="A34" s="47" t="s">
        <v>93</v>
      </c>
      <c r="B34" s="3" t="s">
        <v>4</v>
      </c>
      <c r="C34" s="3" t="s">
        <v>75</v>
      </c>
      <c r="D34" s="3">
        <v>6.2E-2</v>
      </c>
      <c r="E34" s="26">
        <v>0.14000000000000001</v>
      </c>
      <c r="F34" s="3" t="s">
        <v>56</v>
      </c>
      <c r="G34" s="29">
        <f t="shared" si="0"/>
        <v>4.3457072172486555</v>
      </c>
      <c r="H34" s="29">
        <f t="shared" si="1"/>
        <v>0.97228143366414399</v>
      </c>
      <c r="I34" s="58">
        <f t="shared" si="2"/>
        <v>0.5007440036440779</v>
      </c>
      <c r="J34" s="29">
        <f t="shared" si="3"/>
        <v>2.1760868306300565</v>
      </c>
      <c r="K34" s="30">
        <f t="shared" si="4"/>
        <v>0.29328380945050109</v>
      </c>
      <c r="L34" s="30">
        <f t="shared" si="5"/>
        <v>-0.85387196432176193</v>
      </c>
      <c r="M34" s="30">
        <f t="shared" si="6"/>
        <v>-0.53271191131329931</v>
      </c>
      <c r="N34" s="111" t="s">
        <v>299</v>
      </c>
      <c r="O34" s="4" t="s">
        <v>7</v>
      </c>
    </row>
    <row r="35" spans="1:15" ht="45" customHeight="1" x14ac:dyDescent="0.4">
      <c r="A35" s="47" t="s">
        <v>94</v>
      </c>
      <c r="B35" s="3" t="s">
        <v>4</v>
      </c>
      <c r="C35" s="3" t="s">
        <v>76</v>
      </c>
      <c r="D35" s="3">
        <v>2.5000000000000001E-2</v>
      </c>
      <c r="E35" s="26">
        <v>0.09</v>
      </c>
      <c r="F35" s="3" t="s">
        <v>56</v>
      </c>
      <c r="G35" s="29">
        <f t="shared" si="0"/>
        <v>2.3647097234663139</v>
      </c>
      <c r="H35" s="29">
        <f t="shared" si="1"/>
        <v>0.97228143366414399</v>
      </c>
      <c r="I35" s="58">
        <f t="shared" si="2"/>
        <v>0.5007440036440779</v>
      </c>
      <c r="J35" s="29">
        <f t="shared" si="3"/>
        <v>1.1841142143846024</v>
      </c>
      <c r="K35" s="30">
        <f t="shared" si="4"/>
        <v>0.11323657334880041</v>
      </c>
      <c r="L35" s="30">
        <f t="shared" si="5"/>
        <v>-1.0457574905606752</v>
      </c>
      <c r="M35" s="30">
        <f t="shared" si="6"/>
        <v>-0.94601328129054463</v>
      </c>
      <c r="N35" s="111" t="s">
        <v>300</v>
      </c>
      <c r="O35" s="4" t="s">
        <v>7</v>
      </c>
    </row>
    <row r="36" spans="1:15" ht="45" customHeight="1" x14ac:dyDescent="0.4">
      <c r="A36" s="47" t="s">
        <v>95</v>
      </c>
      <c r="B36" s="3" t="s">
        <v>4</v>
      </c>
      <c r="C36" s="3" t="s">
        <v>70</v>
      </c>
      <c r="D36" s="3">
        <v>0.6</v>
      </c>
      <c r="E36" s="26">
        <v>0.08</v>
      </c>
      <c r="F36" s="3" t="s">
        <v>43</v>
      </c>
      <c r="G36" s="29">
        <f t="shared" si="0"/>
        <v>19.884714922577103</v>
      </c>
      <c r="H36" s="29">
        <f t="shared" si="1"/>
        <v>0.96201627687726232</v>
      </c>
      <c r="I36" s="58">
        <f t="shared" si="2"/>
        <v>0.26786511382658196</v>
      </c>
      <c r="J36" s="29">
        <f t="shared" si="3"/>
        <v>5.3264214261452487</v>
      </c>
      <c r="K36" s="30">
        <f t="shared" si="4"/>
        <v>0.96287533094698718</v>
      </c>
      <c r="L36" s="30">
        <f t="shared" si="5"/>
        <v>-1.0969100130080565</v>
      </c>
      <c r="M36" s="30">
        <f t="shared" si="6"/>
        <v>-1.6429939860663507E-2</v>
      </c>
      <c r="N36" s="111" t="s">
        <v>301</v>
      </c>
      <c r="O36" s="4" t="s">
        <v>7</v>
      </c>
    </row>
    <row r="37" spans="1:15" ht="45" customHeight="1" x14ac:dyDescent="0.4">
      <c r="A37" s="47" t="s">
        <v>96</v>
      </c>
      <c r="B37" s="3" t="s">
        <v>4</v>
      </c>
      <c r="C37" s="3" t="s">
        <v>77</v>
      </c>
      <c r="D37" s="3">
        <v>0.8</v>
      </c>
      <c r="E37" s="26">
        <v>0.28999999999999998</v>
      </c>
      <c r="F37" s="3" t="s">
        <v>26</v>
      </c>
      <c r="G37" s="29">
        <f t="shared" si="0"/>
        <v>24.11172726855348</v>
      </c>
      <c r="H37" s="29">
        <f t="shared" si="1"/>
        <v>0.95175112009038054</v>
      </c>
      <c r="I37" s="58">
        <f t="shared" si="2"/>
        <v>0.11579006587162256</v>
      </c>
      <c r="J37" s="29">
        <f t="shared" si="3"/>
        <v>2.7918984887044056</v>
      </c>
      <c r="K37" s="30">
        <f t="shared" si="4"/>
        <v>1.0071870487338306</v>
      </c>
      <c r="L37" s="30">
        <f t="shared" si="5"/>
        <v>-0.53760200210104392</v>
      </c>
      <c r="M37" s="30">
        <f t="shared" si="6"/>
        <v>3.1101326085490022E-3</v>
      </c>
      <c r="N37" s="111" t="s">
        <v>302</v>
      </c>
      <c r="O37" s="4" t="s">
        <v>7</v>
      </c>
    </row>
    <row r="38" spans="1:15" ht="45" customHeight="1" x14ac:dyDescent="0.4">
      <c r="A38" s="47" t="s">
        <v>100</v>
      </c>
      <c r="B38" s="3" t="s">
        <v>82</v>
      </c>
      <c r="C38" s="3" t="s">
        <v>79</v>
      </c>
      <c r="D38" s="3">
        <v>20</v>
      </c>
      <c r="E38" s="26">
        <v>0.64</v>
      </c>
      <c r="F38" s="3" t="s">
        <v>53</v>
      </c>
      <c r="G38" s="29">
        <f t="shared" si="0"/>
        <v>208.37620699180752</v>
      </c>
      <c r="H38" s="29">
        <f t="shared" si="1"/>
        <v>1.0099203418827101</v>
      </c>
      <c r="I38" s="58">
        <f t="shared" si="2"/>
        <v>0.91922676664614933</v>
      </c>
      <c r="J38" s="29">
        <f t="shared" si="3"/>
        <v>191.54498699906796</v>
      </c>
      <c r="K38" s="30">
        <f t="shared" si="4"/>
        <v>4.1660813089583115</v>
      </c>
      <c r="L38" s="30">
        <f t="shared" si="5"/>
        <v>-0.19382002601611281</v>
      </c>
      <c r="M38" s="30">
        <f t="shared" si="6"/>
        <v>0.61972774177287238</v>
      </c>
      <c r="N38" s="111" t="s">
        <v>303</v>
      </c>
      <c r="O38" s="4" t="s">
        <v>7</v>
      </c>
    </row>
    <row r="39" spans="1:15" ht="45" customHeight="1" x14ac:dyDescent="0.4">
      <c r="A39" s="47" t="s">
        <v>101</v>
      </c>
      <c r="B39" s="3" t="s">
        <v>683</v>
      </c>
      <c r="C39" s="3" t="s">
        <v>83</v>
      </c>
      <c r="D39" s="3">
        <v>85</v>
      </c>
      <c r="E39" s="26">
        <v>0.5</v>
      </c>
      <c r="F39" s="3" t="s">
        <v>50</v>
      </c>
      <c r="G39" s="29">
        <f t="shared" si="0"/>
        <v>549.37477123165854</v>
      </c>
      <c r="H39" s="29">
        <f t="shared" si="1"/>
        <v>1.0304506554564736</v>
      </c>
      <c r="I39" s="58">
        <f t="shared" si="2"/>
        <v>0.46185985922642098</v>
      </c>
      <c r="J39" s="29">
        <f t="shared" si="3"/>
        <v>253.73415450360105</v>
      </c>
      <c r="K39" s="30">
        <f t="shared" si="4"/>
        <v>6.9284338280979467</v>
      </c>
      <c r="L39" s="30">
        <f t="shared" si="5"/>
        <v>-0.3010299956639812</v>
      </c>
      <c r="M39" s="30">
        <f t="shared" si="6"/>
        <v>0.84063507347381572</v>
      </c>
      <c r="N39" s="111" t="s">
        <v>304</v>
      </c>
      <c r="O39" s="4" t="s">
        <v>11</v>
      </c>
    </row>
    <row r="40" spans="1:15" ht="45" customHeight="1" x14ac:dyDescent="0.4">
      <c r="A40" s="47" t="s">
        <v>102</v>
      </c>
      <c r="B40" s="3" t="s">
        <v>4</v>
      </c>
      <c r="C40" s="3" t="s">
        <v>47</v>
      </c>
      <c r="D40" s="3">
        <v>2.2000000000000002</v>
      </c>
      <c r="E40" s="26">
        <v>0.31</v>
      </c>
      <c r="F40" s="3" t="s">
        <v>64</v>
      </c>
      <c r="G40" s="29">
        <f t="shared" si="0"/>
        <v>47.487710042687951</v>
      </c>
      <c r="H40" s="29">
        <f t="shared" si="1"/>
        <v>0.98254659045102566</v>
      </c>
      <c r="I40" s="58">
        <f t="shared" si="2"/>
        <v>0.76305747536066382</v>
      </c>
      <c r="J40" s="29">
        <f t="shared" si="3"/>
        <v>36.235852135832708</v>
      </c>
      <c r="K40" s="30">
        <f t="shared" si="4"/>
        <v>1.7369411294825325</v>
      </c>
      <c r="L40" s="30">
        <f t="shared" si="5"/>
        <v>-0.50863830616572736</v>
      </c>
      <c r="M40" s="30">
        <f t="shared" si="6"/>
        <v>0.23978509906071158</v>
      </c>
      <c r="N40" s="111" t="s">
        <v>305</v>
      </c>
      <c r="O40" s="4" t="s">
        <v>11</v>
      </c>
    </row>
    <row r="41" spans="1:15" ht="45" customHeight="1" x14ac:dyDescent="0.4">
      <c r="A41" s="47" t="s">
        <v>103</v>
      </c>
      <c r="B41" s="3" t="s">
        <v>4</v>
      </c>
      <c r="C41" s="3" t="s">
        <v>55</v>
      </c>
      <c r="D41" s="3">
        <v>0.68</v>
      </c>
      <c r="E41" s="26">
        <v>0.24</v>
      </c>
      <c r="F41" s="3" t="s">
        <v>36</v>
      </c>
      <c r="G41" s="29">
        <f t="shared" si="0"/>
        <v>21.624147888274877</v>
      </c>
      <c r="H41" s="29">
        <f t="shared" si="1"/>
        <v>0.95859455794830173</v>
      </c>
      <c r="I41" s="58">
        <f t="shared" si="2"/>
        <v>0.20748001045034586</v>
      </c>
      <c r="J41" s="29">
        <f t="shared" si="3"/>
        <v>4.4865784298390956</v>
      </c>
      <c r="K41" s="30">
        <f t="shared" si="4"/>
        <v>0.99054784821957542</v>
      </c>
      <c r="L41" s="30">
        <f t="shared" si="5"/>
        <v>-0.61978875828839397</v>
      </c>
      <c r="M41" s="30">
        <f t="shared" si="6"/>
        <v>-4.1245411089472555E-3</v>
      </c>
      <c r="N41" s="111" t="s">
        <v>306</v>
      </c>
      <c r="O41" s="4" t="s">
        <v>7</v>
      </c>
    </row>
    <row r="42" spans="1:15" ht="45" customHeight="1" x14ac:dyDescent="0.4">
      <c r="A42" s="47" t="s">
        <v>104</v>
      </c>
      <c r="B42" s="3" t="s">
        <v>4</v>
      </c>
      <c r="C42" s="3" t="s">
        <v>84</v>
      </c>
      <c r="D42" s="3">
        <v>0.48</v>
      </c>
      <c r="E42" s="26">
        <v>0.14000000000000001</v>
      </c>
      <c r="F42" s="3" t="s">
        <v>71</v>
      </c>
      <c r="G42" s="29">
        <f t="shared" si="0"/>
        <v>17.123386536646947</v>
      </c>
      <c r="H42" s="29">
        <f t="shared" si="1"/>
        <v>0.99965518509582851</v>
      </c>
      <c r="I42" s="58">
        <f t="shared" si="2"/>
        <v>0.99989685637829318</v>
      </c>
      <c r="J42" s="29">
        <f t="shared" si="3"/>
        <v>17.12162036854367</v>
      </c>
      <c r="K42" s="30">
        <f t="shared" si="4"/>
        <v>0.98071597677834943</v>
      </c>
      <c r="L42" s="30">
        <f t="shared" si="5"/>
        <v>-0.85387196432176193</v>
      </c>
      <c r="M42" s="30">
        <f t="shared" si="6"/>
        <v>-8.4567495799960073E-3</v>
      </c>
      <c r="N42" s="111" t="s">
        <v>307</v>
      </c>
      <c r="O42" s="4" t="s">
        <v>7</v>
      </c>
    </row>
    <row r="43" spans="1:15" ht="45" customHeight="1" x14ac:dyDescent="0.4">
      <c r="A43" s="47" t="s">
        <v>105</v>
      </c>
      <c r="B43" s="3" t="s">
        <v>4</v>
      </c>
      <c r="C43" s="3" t="s">
        <v>86</v>
      </c>
      <c r="D43" s="3">
        <v>87</v>
      </c>
      <c r="E43" s="26">
        <v>0.6</v>
      </c>
      <c r="F43" s="3" t="s">
        <v>6</v>
      </c>
      <c r="G43" s="29">
        <f t="shared" si="0"/>
        <v>558.0022249136307</v>
      </c>
      <c r="H43" s="29">
        <f t="shared" si="1"/>
        <v>0.98939002830894673</v>
      </c>
      <c r="I43" s="58">
        <f t="shared" si="2"/>
        <v>0.90573028669913125</v>
      </c>
      <c r="J43" s="29">
        <f t="shared" si="3"/>
        <v>505.39951514977582</v>
      </c>
      <c r="K43" s="30">
        <f t="shared" si="4"/>
        <v>7.3785199278479627</v>
      </c>
      <c r="L43" s="30">
        <f t="shared" si="5"/>
        <v>-0.22184874961635639</v>
      </c>
      <c r="M43" s="30">
        <f t="shared" si="6"/>
        <v>0.86796925455568064</v>
      </c>
      <c r="N43" s="111" t="s">
        <v>308</v>
      </c>
      <c r="O43" s="4" t="s">
        <v>130</v>
      </c>
    </row>
    <row r="44" spans="1:15" ht="45" customHeight="1" x14ac:dyDescent="0.4">
      <c r="A44" s="47" t="s">
        <v>106</v>
      </c>
      <c r="B44" s="3" t="s">
        <v>4</v>
      </c>
      <c r="C44" s="3" t="s">
        <v>39</v>
      </c>
      <c r="D44" s="3">
        <v>0.69</v>
      </c>
      <c r="E44" s="26">
        <v>0.56999999999999995</v>
      </c>
      <c r="F44" s="3" t="s">
        <v>48</v>
      </c>
      <c r="G44" s="29">
        <f t="shared" si="0"/>
        <v>21.836695700012012</v>
      </c>
      <c r="H44" s="29">
        <f t="shared" si="1"/>
        <v>1.0338723743854341</v>
      </c>
      <c r="I44" s="58">
        <f t="shared" si="2"/>
        <v>0.38611102969351824</v>
      </c>
      <c r="J44" s="29">
        <f t="shared" si="3"/>
        <v>8.4313890618356595</v>
      </c>
      <c r="K44" s="30">
        <f t="shared" si="4"/>
        <v>1.046946771724933</v>
      </c>
      <c r="L44" s="30">
        <f t="shared" si="5"/>
        <v>-0.24412514432750865</v>
      </c>
      <c r="M44" s="30">
        <f t="shared" si="6"/>
        <v>1.9924602085931994E-2</v>
      </c>
      <c r="N44" s="111" t="s">
        <v>309</v>
      </c>
      <c r="O44" s="4" t="s">
        <v>7</v>
      </c>
    </row>
    <row r="45" spans="1:15" ht="45" customHeight="1" x14ac:dyDescent="0.4">
      <c r="A45" s="47" t="s">
        <v>107</v>
      </c>
      <c r="B45" s="3" t="s">
        <v>4</v>
      </c>
      <c r="C45" s="3" t="s">
        <v>77</v>
      </c>
      <c r="D45" s="3">
        <v>0.93</v>
      </c>
      <c r="E45" s="26">
        <v>0.12</v>
      </c>
      <c r="F45" s="3" t="s">
        <v>31</v>
      </c>
      <c r="G45" s="29">
        <f t="shared" si="0"/>
        <v>26.671141707981196</v>
      </c>
      <c r="H45" s="29">
        <f t="shared" si="1"/>
        <v>0.95517283901934114</v>
      </c>
      <c r="I45" s="58">
        <f t="shared" si="2"/>
        <v>0.15689544493476637</v>
      </c>
      <c r="J45" s="29">
        <f t="shared" si="3"/>
        <v>4.1845806451919145</v>
      </c>
      <c r="K45" s="30">
        <f t="shared" si="4"/>
        <v>1.0943151715151616</v>
      </c>
      <c r="L45" s="30">
        <f t="shared" si="5"/>
        <v>-0.92081875395237522</v>
      </c>
      <c r="M45" s="30">
        <f t="shared" si="6"/>
        <v>3.9142420294600487E-2</v>
      </c>
      <c r="N45" s="111" t="s">
        <v>310</v>
      </c>
      <c r="O45" s="4" t="s">
        <v>7</v>
      </c>
    </row>
    <row r="46" spans="1:15" ht="45" customHeight="1" x14ac:dyDescent="0.4">
      <c r="A46" s="47" t="s">
        <v>87</v>
      </c>
      <c r="B46" s="3" t="s">
        <v>4</v>
      </c>
      <c r="C46" s="3" t="s">
        <v>88</v>
      </c>
      <c r="D46" s="3">
        <v>3.8</v>
      </c>
      <c r="E46" s="26">
        <v>0.14000000000000001</v>
      </c>
      <c r="F46" s="3" t="s">
        <v>34</v>
      </c>
      <c r="G46" s="29">
        <f t="shared" si="0"/>
        <v>68.487772445278253</v>
      </c>
      <c r="H46" s="29">
        <f t="shared" si="1"/>
        <v>0.99623346616686792</v>
      </c>
      <c r="I46" s="58">
        <f t="shared" si="2"/>
        <v>0.98771204744322549</v>
      </c>
      <c r="J46" s="29">
        <f t="shared" si="3"/>
        <v>67.646197946751499</v>
      </c>
      <c r="K46" s="30">
        <f t="shared" si="4"/>
        <v>2.1939501718996355</v>
      </c>
      <c r="L46" s="30">
        <f t="shared" si="5"/>
        <v>-0.85387196432176193</v>
      </c>
      <c r="M46" s="30">
        <f t="shared" si="6"/>
        <v>0.34122675983177786</v>
      </c>
      <c r="N46" s="111" t="s">
        <v>311</v>
      </c>
      <c r="O46" s="4" t="s">
        <v>7</v>
      </c>
    </row>
    <row r="47" spans="1:15" ht="45" customHeight="1" x14ac:dyDescent="0.4">
      <c r="A47" s="47" t="s">
        <v>108</v>
      </c>
      <c r="B47" s="3" t="s">
        <v>4</v>
      </c>
      <c r="C47" s="3" t="s">
        <v>35</v>
      </c>
      <c r="D47" s="3">
        <v>6</v>
      </c>
      <c r="E47" s="26">
        <v>0.53</v>
      </c>
      <c r="F47" s="3" t="s">
        <v>52</v>
      </c>
      <c r="G47" s="29">
        <f t="shared" si="0"/>
        <v>93.007799437672602</v>
      </c>
      <c r="H47" s="29">
        <f t="shared" si="1"/>
        <v>1.0270289365275129</v>
      </c>
      <c r="I47" s="58">
        <f t="shared" si="2"/>
        <v>0.54261763194782686</v>
      </c>
      <c r="J47" s="29">
        <f t="shared" si="3"/>
        <v>50.467671883548327</v>
      </c>
      <c r="K47" s="30">
        <f t="shared" si="4"/>
        <v>2.4986181006499701</v>
      </c>
      <c r="L47" s="30">
        <f t="shared" si="5"/>
        <v>-0.27572413039921095</v>
      </c>
      <c r="M47" s="30">
        <f t="shared" si="6"/>
        <v>0.39769988179478122</v>
      </c>
      <c r="N47" s="111" t="s">
        <v>312</v>
      </c>
      <c r="O47" s="4" t="s">
        <v>7</v>
      </c>
    </row>
    <row r="48" spans="1:15" ht="45" customHeight="1" x14ac:dyDescent="0.4">
      <c r="A48" s="47" t="s">
        <v>109</v>
      </c>
      <c r="B48" s="3" t="s">
        <v>4</v>
      </c>
      <c r="C48" s="3" t="s">
        <v>18</v>
      </c>
      <c r="D48" s="3">
        <v>0.26</v>
      </c>
      <c r="E48" s="26">
        <v>0.1</v>
      </c>
      <c r="F48" s="3" t="s">
        <v>34</v>
      </c>
      <c r="G48" s="29">
        <f t="shared" si="0"/>
        <v>11.355079377178454</v>
      </c>
      <c r="H48" s="29">
        <f t="shared" si="1"/>
        <v>0.99623346616686792</v>
      </c>
      <c r="I48" s="58">
        <f t="shared" si="2"/>
        <v>0.98771204744322549</v>
      </c>
      <c r="J48" s="29">
        <f t="shared" si="3"/>
        <v>11.215548700513276</v>
      </c>
      <c r="K48" s="30">
        <f t="shared" si="4"/>
        <v>0.76679568438231871</v>
      </c>
      <c r="L48" s="30">
        <f t="shared" si="5"/>
        <v>-1</v>
      </c>
      <c r="M48" s="30">
        <f t="shared" si="6"/>
        <v>-0.11532034004830369</v>
      </c>
      <c r="N48" s="111" t="s">
        <v>313</v>
      </c>
      <c r="O48" s="4" t="s">
        <v>7</v>
      </c>
    </row>
    <row r="49" spans="1:15" ht="45" customHeight="1" x14ac:dyDescent="0.4">
      <c r="A49" s="47" t="s">
        <v>123</v>
      </c>
      <c r="B49" s="3" t="s">
        <v>4</v>
      </c>
      <c r="C49" s="3" t="s">
        <v>85</v>
      </c>
      <c r="D49" s="3">
        <v>0.157</v>
      </c>
      <c r="E49" s="26">
        <v>0.06</v>
      </c>
      <c r="F49" s="3" t="s">
        <v>74</v>
      </c>
      <c r="G49" s="29">
        <f t="shared" si="0"/>
        <v>8.098615837692611</v>
      </c>
      <c r="H49" s="29">
        <f t="shared" si="1"/>
        <v>1.0064986229537496</v>
      </c>
      <c r="I49" s="58">
        <f t="shared" si="2"/>
        <v>0.9643447258943314</v>
      </c>
      <c r="J49" s="29">
        <f t="shared" si="3"/>
        <v>7.8098574701231716</v>
      </c>
      <c r="K49" s="30">
        <f t="shared" si="4"/>
        <v>0.60312847125925118</v>
      </c>
      <c r="L49" s="30">
        <f t="shared" si="5"/>
        <v>-1.2218487496163564</v>
      </c>
      <c r="M49" s="30">
        <f t="shared" si="6"/>
        <v>-0.21959016975665077</v>
      </c>
      <c r="N49" s="111" t="s">
        <v>314</v>
      </c>
      <c r="O49" s="4" t="s">
        <v>7</v>
      </c>
    </row>
    <row r="50" spans="1:15" ht="45" customHeight="1" x14ac:dyDescent="0.4">
      <c r="A50" s="47" t="s">
        <v>110</v>
      </c>
      <c r="B50" s="3" t="s">
        <v>4</v>
      </c>
      <c r="C50" s="3" t="s">
        <v>59</v>
      </c>
      <c r="D50" s="3">
        <v>3.2</v>
      </c>
      <c r="E50" s="26">
        <v>0.2</v>
      </c>
      <c r="F50" s="3" t="s">
        <v>43</v>
      </c>
      <c r="G50" s="29">
        <f t="shared" si="0"/>
        <v>61.039155564369153</v>
      </c>
      <c r="H50" s="29">
        <f t="shared" si="1"/>
        <v>0.96201627687726232</v>
      </c>
      <c r="I50" s="58">
        <f t="shared" si="2"/>
        <v>0.26786511382658196</v>
      </c>
      <c r="J50" s="29">
        <f t="shared" si="3"/>
        <v>16.350260353128185</v>
      </c>
      <c r="K50" s="30">
        <f t="shared" si="4"/>
        <v>1.848469829725315</v>
      </c>
      <c r="L50" s="30">
        <f t="shared" si="5"/>
        <v>-0.69897000433601875</v>
      </c>
      <c r="M50" s="30">
        <f t="shared" si="6"/>
        <v>0.26681236651813678</v>
      </c>
      <c r="N50" s="111" t="s">
        <v>315</v>
      </c>
      <c r="O50" s="4" t="s">
        <v>131</v>
      </c>
    </row>
    <row r="51" spans="1:15" ht="45" customHeight="1" x14ac:dyDescent="0.4">
      <c r="A51" s="47" t="s">
        <v>12</v>
      </c>
      <c r="B51" s="56" t="s">
        <v>13</v>
      </c>
      <c r="C51" s="5" t="s">
        <v>14</v>
      </c>
      <c r="D51" s="27">
        <v>155</v>
      </c>
      <c r="E51" s="28">
        <v>1.0900000000000001</v>
      </c>
      <c r="F51" s="5">
        <v>25</v>
      </c>
      <c r="G51" s="29">
        <f t="shared" si="0"/>
        <v>821.63753146038084</v>
      </c>
      <c r="H51" s="29">
        <f>(F51+273.15)/$M$4</f>
        <v>0.98182134639233232</v>
      </c>
      <c r="I51" s="58">
        <f>POWER(H51*POWER(EXP(1),(1/H51-1)),$K$4)</f>
        <v>0.83186486199255472</v>
      </c>
      <c r="J51" s="29">
        <f t="shared" si="3"/>
        <v>683.49139171619299</v>
      </c>
      <c r="K51" s="30">
        <f t="shared" si="4"/>
        <v>9.1776204814456523</v>
      </c>
      <c r="L51" s="30">
        <f t="shared" si="5"/>
        <v>3.7426497940623665E-2</v>
      </c>
      <c r="M51" s="30">
        <f t="shared" si="6"/>
        <v>0.96273009451991609</v>
      </c>
      <c r="N51" s="112" t="s">
        <v>321</v>
      </c>
      <c r="O51" s="5" t="s">
        <v>11</v>
      </c>
    </row>
    <row r="52" spans="1:15" ht="45" customHeight="1" x14ac:dyDescent="0.4">
      <c r="A52" s="47" t="s">
        <v>16</v>
      </c>
      <c r="B52" s="56" t="s">
        <v>13</v>
      </c>
      <c r="C52" s="5" t="s">
        <v>17</v>
      </c>
      <c r="D52" s="27">
        <v>428</v>
      </c>
      <c r="E52" s="28">
        <v>2.25</v>
      </c>
      <c r="F52" s="5">
        <v>26</v>
      </c>
      <c r="G52" s="29">
        <f t="shared" si="0"/>
        <v>1622.651877386098</v>
      </c>
      <c r="H52" s="29">
        <f t="shared" ref="H52:H64" si="7">(F52+273.15)/$M$4</f>
        <v>0.98511439132405243</v>
      </c>
      <c r="I52" s="58">
        <f t="shared" ref="I52:I64" si="8">POWER(H52*POWER(EXP(1),(1/H52-1)),$K$4)</f>
        <v>0.88436693127214117</v>
      </c>
      <c r="J52" s="29">
        <f t="shared" si="3"/>
        <v>1435.0196613269222</v>
      </c>
      <c r="K52" s="30">
        <f t="shared" si="4"/>
        <v>13.699784462763525</v>
      </c>
      <c r="L52" s="30">
        <f t="shared" si="5"/>
        <v>0.35218251811136247</v>
      </c>
      <c r="M52" s="30">
        <f t="shared" si="6"/>
        <v>1.1367137345017504</v>
      </c>
      <c r="N52" s="112" t="s">
        <v>319</v>
      </c>
      <c r="O52" s="5" t="s">
        <v>7</v>
      </c>
    </row>
    <row r="53" spans="1:15" ht="45" customHeight="1" x14ac:dyDescent="0.4">
      <c r="A53" s="47" t="s">
        <v>19</v>
      </c>
      <c r="B53" s="56" t="s">
        <v>13</v>
      </c>
      <c r="C53" s="5" t="s">
        <v>20</v>
      </c>
      <c r="D53" s="27">
        <v>16</v>
      </c>
      <c r="E53" s="28">
        <v>1.86</v>
      </c>
      <c r="F53" s="5">
        <v>22</v>
      </c>
      <c r="G53" s="29">
        <f t="shared" si="0"/>
        <v>179.43965258007537</v>
      </c>
      <c r="H53" s="29">
        <f t="shared" si="7"/>
        <v>0.9719422115971722</v>
      </c>
      <c r="I53" s="58">
        <f t="shared" si="8"/>
        <v>0.64116093967778676</v>
      </c>
      <c r="J53" s="29">
        <f t="shared" si="3"/>
        <v>115.04969626369672</v>
      </c>
      <c r="K53" s="30">
        <f t="shared" si="4"/>
        <v>3.7106940878238377</v>
      </c>
      <c r="L53" s="30">
        <f t="shared" si="5"/>
        <v>0.26951294421791633</v>
      </c>
      <c r="M53" s="30">
        <f t="shared" si="6"/>
        <v>0.56945515228834853</v>
      </c>
      <c r="N53" s="112" t="s">
        <v>320</v>
      </c>
      <c r="O53" s="4" t="s">
        <v>21</v>
      </c>
    </row>
    <row r="54" spans="1:15" ht="45" customHeight="1" x14ac:dyDescent="0.4">
      <c r="A54" s="47" t="s">
        <v>97</v>
      </c>
      <c r="B54" s="56" t="s">
        <v>13</v>
      </c>
      <c r="C54" s="5" t="s">
        <v>78</v>
      </c>
      <c r="D54" s="27">
        <v>11.7</v>
      </c>
      <c r="E54" s="28">
        <v>1.24</v>
      </c>
      <c r="F54" s="5">
        <v>28</v>
      </c>
      <c r="G54" s="29">
        <f t="shared" si="0"/>
        <v>145.49315403280775</v>
      </c>
      <c r="H54" s="29">
        <f t="shared" si="7"/>
        <v>0.99170048118749243</v>
      </c>
      <c r="I54" s="58">
        <f t="shared" si="8"/>
        <v>0.96284522194584277</v>
      </c>
      <c r="J54" s="29">
        <f t="shared" si="3"/>
        <v>140.08738818631946</v>
      </c>
      <c r="K54" s="30">
        <f t="shared" si="4"/>
        <v>3.3933009024799539</v>
      </c>
      <c r="L54" s="30">
        <f t="shared" si="5"/>
        <v>9.3421685162235063E-2</v>
      </c>
      <c r="M54" s="30">
        <f t="shared" si="6"/>
        <v>0.53062237261075207</v>
      </c>
      <c r="N54" s="112" t="s">
        <v>318</v>
      </c>
      <c r="O54" s="4" t="s">
        <v>21</v>
      </c>
    </row>
    <row r="55" spans="1:15" ht="45" customHeight="1" x14ac:dyDescent="0.4">
      <c r="A55" s="47" t="s">
        <v>98</v>
      </c>
      <c r="B55" s="57" t="s">
        <v>13</v>
      </c>
      <c r="C55" s="3" t="s">
        <v>80</v>
      </c>
      <c r="D55" s="3">
        <v>240</v>
      </c>
      <c r="E55" s="3">
        <v>2</v>
      </c>
      <c r="F55" s="3">
        <v>25</v>
      </c>
      <c r="G55" s="29">
        <f t="shared" si="0"/>
        <v>1101.2845925280988</v>
      </c>
      <c r="H55" s="29">
        <f t="shared" si="7"/>
        <v>0.98182134639233232</v>
      </c>
      <c r="I55" s="58">
        <f t="shared" si="8"/>
        <v>0.83186486199255472</v>
      </c>
      <c r="J55" s="29">
        <f t="shared" si="3"/>
        <v>916.11995557791374</v>
      </c>
      <c r="K55" s="30">
        <f t="shared" si="4"/>
        <v>10.881960989589398</v>
      </c>
      <c r="L55" s="30">
        <f t="shared" si="5"/>
        <v>0.3010299956639812</v>
      </c>
      <c r="M55" s="30">
        <f t="shared" si="6"/>
        <v>1.0367071646836121</v>
      </c>
      <c r="N55" s="111" t="s">
        <v>317</v>
      </c>
      <c r="O55" s="4" t="s">
        <v>21</v>
      </c>
    </row>
    <row r="56" spans="1:15" ht="45" customHeight="1" x14ac:dyDescent="0.4">
      <c r="A56" s="47" t="s">
        <v>99</v>
      </c>
      <c r="B56" s="57" t="s">
        <v>126</v>
      </c>
      <c r="C56" s="3" t="s">
        <v>81</v>
      </c>
      <c r="D56" s="3">
        <v>22.6</v>
      </c>
      <c r="E56" s="3">
        <v>1.37</v>
      </c>
      <c r="F56" s="3">
        <v>25</v>
      </c>
      <c r="G56" s="29">
        <f t="shared" si="0"/>
        <v>226.15733901625563</v>
      </c>
      <c r="H56" s="29">
        <f t="shared" si="7"/>
        <v>0.98182134639233232</v>
      </c>
      <c r="I56" s="58">
        <f t="shared" si="8"/>
        <v>0.83186486199255472</v>
      </c>
      <c r="J56" s="29">
        <f t="shared" si="3"/>
        <v>188.1323436093609</v>
      </c>
      <c r="K56" s="30">
        <f t="shared" si="4"/>
        <v>4.3344850842570182</v>
      </c>
      <c r="L56" s="30">
        <f t="shared" si="5"/>
        <v>0.13672056715640679</v>
      </c>
      <c r="M56" s="30">
        <f t="shared" si="6"/>
        <v>0.63693751280459787</v>
      </c>
      <c r="N56" s="111" t="s">
        <v>316</v>
      </c>
      <c r="O56" s="4" t="s">
        <v>21</v>
      </c>
    </row>
    <row r="57" spans="1:15" ht="45" customHeight="1" x14ac:dyDescent="0.4">
      <c r="A57" s="109" t="s">
        <v>697</v>
      </c>
      <c r="B57" s="57" t="s">
        <v>126</v>
      </c>
      <c r="C57" s="3" t="s">
        <v>128</v>
      </c>
      <c r="D57" s="3">
        <v>2962</v>
      </c>
      <c r="E57" s="3">
        <v>1.4</v>
      </c>
      <c r="F57" s="3">
        <v>36.4</v>
      </c>
      <c r="G57" s="29">
        <f t="shared" si="0"/>
        <v>5930.8920263631326</v>
      </c>
      <c r="H57" s="29">
        <f t="shared" si="7"/>
        <v>1.0193620586139409</v>
      </c>
      <c r="I57" s="58">
        <f t="shared" si="8"/>
        <v>0.81984377376432904</v>
      </c>
      <c r="J57" s="29">
        <f t="shared" si="3"/>
        <v>4862.4049006823188</v>
      </c>
      <c r="K57" s="30">
        <f t="shared" si="4"/>
        <v>28.933479726728017</v>
      </c>
      <c r="L57" s="30">
        <f t="shared" si="5"/>
        <v>0.14612803567823801</v>
      </c>
      <c r="M57" s="30">
        <f t="shared" si="6"/>
        <v>1.4614006678421747</v>
      </c>
      <c r="N57" s="111" t="s">
        <v>325</v>
      </c>
      <c r="O57" s="4" t="s">
        <v>11</v>
      </c>
    </row>
    <row r="58" spans="1:15" ht="45" customHeight="1" x14ac:dyDescent="0.4">
      <c r="A58" s="47" t="s">
        <v>696</v>
      </c>
      <c r="B58" s="57" t="s">
        <v>126</v>
      </c>
      <c r="C58" s="3">
        <v>8.33</v>
      </c>
      <c r="D58" s="3">
        <v>91000</v>
      </c>
      <c r="E58" s="3">
        <v>2.2999999999999998</v>
      </c>
      <c r="F58" s="3">
        <v>35</v>
      </c>
      <c r="G58" s="29">
        <f t="shared" si="0"/>
        <v>58845.839673990828</v>
      </c>
      <c r="H58" s="29">
        <f t="shared" si="7"/>
        <v>1.0147517957095329</v>
      </c>
      <c r="I58" s="58">
        <f t="shared" si="8"/>
        <v>0.89046875060918851</v>
      </c>
      <c r="J58" s="29">
        <f t="shared" si="3"/>
        <v>52400.381333047226</v>
      </c>
      <c r="K58" s="30">
        <f t="shared" si="4"/>
        <v>110.6075222336716</v>
      </c>
      <c r="L58" s="30">
        <f t="shared" si="5"/>
        <v>0.36172783601759284</v>
      </c>
      <c r="M58" s="30">
        <f t="shared" si="6"/>
        <v>2.0437846636186401</v>
      </c>
      <c r="N58" s="111" t="s">
        <v>133</v>
      </c>
      <c r="O58" s="4" t="s">
        <v>11</v>
      </c>
    </row>
    <row r="59" spans="1:15" ht="45" customHeight="1" x14ac:dyDescent="0.4">
      <c r="A59" s="47" t="s">
        <v>695</v>
      </c>
      <c r="B59" s="57" t="s">
        <v>126</v>
      </c>
      <c r="C59" s="3">
        <v>22.59</v>
      </c>
      <c r="D59" s="3">
        <v>180000</v>
      </c>
      <c r="E59" s="3">
        <v>2.08</v>
      </c>
      <c r="F59" s="3">
        <v>35</v>
      </c>
      <c r="G59" s="29">
        <f t="shared" si="0"/>
        <v>92937.419514967085</v>
      </c>
      <c r="H59" s="29">
        <f t="shared" si="7"/>
        <v>1.0147517957095329</v>
      </c>
      <c r="I59" s="58">
        <f t="shared" si="8"/>
        <v>0.89046875060918851</v>
      </c>
      <c r="J59" s="29">
        <f t="shared" si="3"/>
        <v>82757.867840334759</v>
      </c>
      <c r="K59" s="30">
        <f t="shared" si="4"/>
        <v>144.27673484646078</v>
      </c>
      <c r="L59" s="30">
        <f t="shared" si="5"/>
        <v>0.31806333496276157</v>
      </c>
      <c r="M59" s="30">
        <f t="shared" si="6"/>
        <v>2.1591963051585901</v>
      </c>
      <c r="N59" s="111" t="s">
        <v>133</v>
      </c>
      <c r="O59" s="4" t="s">
        <v>11</v>
      </c>
    </row>
    <row r="60" spans="1:15" ht="45" customHeight="1" x14ac:dyDescent="0.4">
      <c r="A60" s="47" t="s">
        <v>694</v>
      </c>
      <c r="B60" s="57" t="s">
        <v>126</v>
      </c>
      <c r="C60" s="3">
        <v>12.04</v>
      </c>
      <c r="D60" s="3">
        <v>25000</v>
      </c>
      <c r="E60" s="3">
        <v>1.65</v>
      </c>
      <c r="F60" s="3">
        <v>35</v>
      </c>
      <c r="G60" s="29">
        <f t="shared" si="0"/>
        <v>24761.550592951273</v>
      </c>
      <c r="H60" s="29">
        <f t="shared" si="7"/>
        <v>1.0147517957095329</v>
      </c>
      <c r="I60" s="58">
        <f t="shared" si="8"/>
        <v>0.89046875060918851</v>
      </c>
      <c r="J60" s="29">
        <f t="shared" si="3"/>
        <v>22049.387019651531</v>
      </c>
      <c r="K60" s="30">
        <f t="shared" si="4"/>
        <v>66.86203099533725</v>
      </c>
      <c r="L60" s="30">
        <f t="shared" si="5"/>
        <v>0.21748394421390627</v>
      </c>
      <c r="M60" s="30">
        <f t="shared" si="6"/>
        <v>1.8251795645489677</v>
      </c>
      <c r="N60" s="111" t="s">
        <v>133</v>
      </c>
      <c r="O60" s="4" t="s">
        <v>11</v>
      </c>
    </row>
    <row r="61" spans="1:15" ht="45" customHeight="1" x14ac:dyDescent="0.4">
      <c r="A61" s="47" t="s">
        <v>134</v>
      </c>
      <c r="B61" s="57" t="s">
        <v>126</v>
      </c>
      <c r="C61" s="3" t="s">
        <v>128</v>
      </c>
      <c r="D61" s="3">
        <v>15951</v>
      </c>
      <c r="E61" s="3">
        <v>1.6</v>
      </c>
      <c r="F61" s="3">
        <v>35</v>
      </c>
      <c r="G61" s="29">
        <f t="shared" si="0"/>
        <v>18324.238444875617</v>
      </c>
      <c r="H61" s="29">
        <f t="shared" si="7"/>
        <v>1.0147517957095329</v>
      </c>
      <c r="I61" s="58">
        <f t="shared" si="8"/>
        <v>0.89046875060918851</v>
      </c>
      <c r="J61" s="29">
        <f t="shared" si="3"/>
        <v>16317.161713873249</v>
      </c>
      <c r="K61" s="30">
        <f t="shared" si="4"/>
        <v>56.123960314866174</v>
      </c>
      <c r="L61" s="30">
        <f t="shared" si="5"/>
        <v>0.20411998265592479</v>
      </c>
      <c r="M61" s="30">
        <f t="shared" si="6"/>
        <v>1.7491483088675264</v>
      </c>
      <c r="N61" s="111" t="s">
        <v>325</v>
      </c>
      <c r="O61" s="4" t="s">
        <v>11</v>
      </c>
    </row>
    <row r="62" spans="1:15" ht="45" customHeight="1" x14ac:dyDescent="0.4">
      <c r="A62" s="47" t="s">
        <v>135</v>
      </c>
      <c r="B62" s="57" t="s">
        <v>126</v>
      </c>
      <c r="C62" s="3" t="s">
        <v>128</v>
      </c>
      <c r="D62" s="3">
        <v>2962</v>
      </c>
      <c r="E62" s="3">
        <v>1.4</v>
      </c>
      <c r="F62" s="3">
        <v>35</v>
      </c>
      <c r="G62" s="29">
        <f t="shared" si="0"/>
        <v>5930.8920263631326</v>
      </c>
      <c r="H62" s="29">
        <f t="shared" si="7"/>
        <v>1.0147517957095329</v>
      </c>
      <c r="I62" s="58">
        <f t="shared" si="8"/>
        <v>0.89046875060918851</v>
      </c>
      <c r="J62" s="29">
        <f t="shared" si="3"/>
        <v>5281.2740127135767</v>
      </c>
      <c r="K62" s="30">
        <f t="shared" si="4"/>
        <v>29.125384959515657</v>
      </c>
      <c r="L62" s="30">
        <f t="shared" si="5"/>
        <v>0.14612803567823801</v>
      </c>
      <c r="M62" s="30">
        <f t="shared" si="6"/>
        <v>1.4642716742808917</v>
      </c>
      <c r="N62" s="111" t="s">
        <v>326</v>
      </c>
      <c r="O62" s="4" t="s">
        <v>11</v>
      </c>
    </row>
    <row r="63" spans="1:15" ht="45" customHeight="1" x14ac:dyDescent="0.4">
      <c r="A63" s="47" t="s">
        <v>136</v>
      </c>
      <c r="B63" s="57" t="s">
        <v>126</v>
      </c>
      <c r="C63" s="3" t="s">
        <v>128</v>
      </c>
      <c r="D63" s="3">
        <v>333.5</v>
      </c>
      <c r="E63" s="3">
        <v>1.8</v>
      </c>
      <c r="F63" s="3">
        <v>35</v>
      </c>
      <c r="G63" s="29">
        <f t="shared" si="0"/>
        <v>1372.8789399578343</v>
      </c>
      <c r="H63" s="29">
        <f t="shared" si="7"/>
        <v>1.0147517957095329</v>
      </c>
      <c r="I63" s="58">
        <f t="shared" si="8"/>
        <v>0.89046875060918851</v>
      </c>
      <c r="J63" s="29">
        <f t="shared" si="3"/>
        <v>1222.5057944019197</v>
      </c>
      <c r="K63" s="30">
        <f t="shared" si="4"/>
        <v>12.437705682697676</v>
      </c>
      <c r="L63" s="30">
        <f t="shared" si="5"/>
        <v>0.25527250510330607</v>
      </c>
      <c r="M63" s="30">
        <f t="shared" si="6"/>
        <v>1.0947402757535423</v>
      </c>
      <c r="N63" s="111" t="s">
        <v>137</v>
      </c>
      <c r="O63" s="4" t="s">
        <v>11</v>
      </c>
    </row>
    <row r="64" spans="1:15" ht="45" customHeight="1" x14ac:dyDescent="0.4">
      <c r="A64" s="47" t="s">
        <v>693</v>
      </c>
      <c r="B64" s="57" t="s">
        <v>126</v>
      </c>
      <c r="C64" s="3">
        <v>11.09</v>
      </c>
      <c r="D64" s="3">
        <v>25000</v>
      </c>
      <c r="E64" s="3">
        <v>1.99</v>
      </c>
      <c r="F64" s="3">
        <v>35</v>
      </c>
      <c r="G64" s="29">
        <f t="shared" si="0"/>
        <v>24761.550592951273</v>
      </c>
      <c r="H64" s="29">
        <f t="shared" si="7"/>
        <v>1.0147517957095329</v>
      </c>
      <c r="I64" s="58">
        <f t="shared" si="8"/>
        <v>0.89046875060918851</v>
      </c>
      <c r="J64" s="29">
        <f>G64*I64</f>
        <v>22049.387019651531</v>
      </c>
      <c r="K64" s="30">
        <f t="shared" si="4"/>
        <v>66.86203099533725</v>
      </c>
      <c r="L64" s="30">
        <f t="shared" si="5"/>
        <v>0.29885307640970665</v>
      </c>
      <c r="M64" s="30">
        <f t="shared" si="6"/>
        <v>1.8251795645489677</v>
      </c>
      <c r="N64" s="111" t="s">
        <v>133</v>
      </c>
      <c r="O64" s="4" t="s">
        <v>11</v>
      </c>
    </row>
    <row r="65" spans="1:15" ht="33.75" customHeight="1" x14ac:dyDescent="0.4">
      <c r="A65" s="153" t="s">
        <v>796</v>
      </c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</row>
    <row r="66" spans="1:15" ht="45" customHeight="1" x14ac:dyDescent="0.4">
      <c r="A66" s="46" t="s">
        <v>690</v>
      </c>
      <c r="B66" s="46" t="s">
        <v>4</v>
      </c>
      <c r="C66" s="46">
        <v>0.27800000000000002</v>
      </c>
      <c r="D66" s="46">
        <v>7.22E-2</v>
      </c>
      <c r="E66" s="32">
        <v>0.151</v>
      </c>
      <c r="F66" s="46">
        <v>35</v>
      </c>
      <c r="G66" s="46">
        <f t="shared" si="0"/>
        <v>4.8125799093165362</v>
      </c>
      <c r="H66" s="46">
        <f t="shared" si="1"/>
        <v>1.0544026879591974</v>
      </c>
      <c r="I66" s="75">
        <f t="shared" ref="I66:I67" si="9">POWER(H66*POWER(EXP(1),(1/H66-1)),$K$3)</f>
        <v>9.1532540275380631E-2</v>
      </c>
      <c r="J66" s="46">
        <f t="shared" si="3"/>
        <v>0.44050766437800354</v>
      </c>
      <c r="K66" s="46">
        <f t="shared" si="4"/>
        <v>0.29250228232499598</v>
      </c>
      <c r="L66" s="46">
        <f>LOG10(E66)</f>
        <v>-0.82102305270683062</v>
      </c>
      <c r="M66" s="46">
        <f>LOG10(K66)</f>
        <v>-0.53387074087313546</v>
      </c>
      <c r="N66" s="113" t="s">
        <v>684</v>
      </c>
      <c r="O66" s="45" t="s">
        <v>130</v>
      </c>
    </row>
    <row r="67" spans="1:15" ht="45" customHeight="1" x14ac:dyDescent="0.4">
      <c r="A67" s="46" t="s">
        <v>691</v>
      </c>
      <c r="B67" s="46" t="s">
        <v>4</v>
      </c>
      <c r="C67" s="46">
        <v>0.54900000000000004</v>
      </c>
      <c r="D67" s="46">
        <v>0.54</v>
      </c>
      <c r="E67" s="32">
        <v>0.21299999999999999</v>
      </c>
      <c r="F67" s="46">
        <v>35</v>
      </c>
      <c r="G67" s="46">
        <f t="shared" si="0"/>
        <v>18.529421066321529</v>
      </c>
      <c r="H67" s="46">
        <f t="shared" si="1"/>
        <v>1.0544026879591974</v>
      </c>
      <c r="I67" s="75">
        <f t="shared" si="9"/>
        <v>9.1532540275380631E-2</v>
      </c>
      <c r="J67" s="46">
        <f t="shared" si="3"/>
        <v>1.6960449800325617</v>
      </c>
      <c r="K67" s="46">
        <f t="shared" si="4"/>
        <v>0.84806216239428778</v>
      </c>
      <c r="L67" s="46">
        <f t="shared" ref="L67:L75" si="10">LOG10(E67)</f>
        <v>-0.67162039656126227</v>
      </c>
      <c r="M67" s="46">
        <f t="shared" ref="M67:M75" si="11">LOG10(K67)</f>
        <v>-7.1572313078930416E-2</v>
      </c>
      <c r="N67" s="113" t="s">
        <v>685</v>
      </c>
      <c r="O67" s="45" t="s">
        <v>130</v>
      </c>
    </row>
    <row r="68" spans="1:15" ht="45" customHeight="1" x14ac:dyDescent="0.4">
      <c r="A68" s="48" t="s">
        <v>334</v>
      </c>
      <c r="B68" s="31" t="s">
        <v>4</v>
      </c>
      <c r="C68" s="31">
        <v>0.97</v>
      </c>
      <c r="D68" s="31">
        <v>2.903</v>
      </c>
      <c r="E68" s="32">
        <v>0.45300000000000001</v>
      </c>
      <c r="F68" s="31">
        <v>35</v>
      </c>
      <c r="G68" s="46">
        <f t="shared" si="0"/>
        <v>57.182816885381186</v>
      </c>
      <c r="H68" s="46">
        <f t="shared" si="1"/>
        <v>1.0544026879591974</v>
      </c>
      <c r="I68" s="75">
        <f>POWER(H68*POWER(EXP(1),(1/H68-1)),$K$3)</f>
        <v>9.1532540275380631E-2</v>
      </c>
      <c r="J68" s="46">
        <f t="shared" si="3"/>
        <v>5.234088489620869</v>
      </c>
      <c r="K68" s="46">
        <f t="shared" si="4"/>
        <v>1.6331417783780651</v>
      </c>
      <c r="L68" s="46">
        <f t="shared" si="10"/>
        <v>-0.34390179798716813</v>
      </c>
      <c r="M68" s="46">
        <f t="shared" si="11"/>
        <v>0.21302388889739576</v>
      </c>
      <c r="N68" s="113" t="s">
        <v>333</v>
      </c>
      <c r="O68" s="45" t="s">
        <v>329</v>
      </c>
    </row>
    <row r="69" spans="1:15" ht="45" customHeight="1" x14ac:dyDescent="0.4">
      <c r="A69" s="45" t="s">
        <v>692</v>
      </c>
      <c r="B69" s="31" t="s">
        <v>4</v>
      </c>
      <c r="C69" s="31">
        <v>3.16</v>
      </c>
      <c r="D69" s="31">
        <v>130</v>
      </c>
      <c r="E69" s="32">
        <v>0.35</v>
      </c>
      <c r="F69" s="46">
        <v>27.4</v>
      </c>
      <c r="G69" s="46">
        <f t="shared" si="0"/>
        <v>730.29794300660058</v>
      </c>
      <c r="H69" s="46">
        <f t="shared" si="1"/>
        <v>1.0283976240990971</v>
      </c>
      <c r="I69" s="75">
        <f>POWER(H69*POWER(EXP(1),(1/H69-1)),$K$3)</f>
        <v>0.50985291919974074</v>
      </c>
      <c r="J69" s="46">
        <f t="shared" si="3"/>
        <v>372.3445381274812</v>
      </c>
      <c r="K69" s="46">
        <f t="shared" si="4"/>
        <v>8.2406328538577949</v>
      </c>
      <c r="L69" s="46">
        <f t="shared" si="10"/>
        <v>-0.45593195564972439</v>
      </c>
      <c r="M69" s="46">
        <f t="shared" si="11"/>
        <v>0.91596056538454562</v>
      </c>
      <c r="N69" s="113" t="s">
        <v>335</v>
      </c>
      <c r="O69" s="45" t="s">
        <v>130</v>
      </c>
    </row>
    <row r="70" spans="1:15" ht="45" customHeight="1" x14ac:dyDescent="0.4">
      <c r="A70" s="46" t="s">
        <v>689</v>
      </c>
      <c r="B70" s="46" t="s">
        <v>4</v>
      </c>
      <c r="C70" s="46">
        <v>0.24</v>
      </c>
      <c r="D70" s="46">
        <v>0.73499999999999999</v>
      </c>
      <c r="E70" s="32">
        <v>0.26</v>
      </c>
      <c r="F70" s="46">
        <v>25</v>
      </c>
      <c r="G70" s="46">
        <f t="shared" si="0"/>
        <v>22.780882735513341</v>
      </c>
      <c r="H70" s="46">
        <f t="shared" si="1"/>
        <v>1.020185498669592</v>
      </c>
      <c r="I70" s="75">
        <f t="shared" ref="I70:I74" si="12">POWER(H70*POWER(EXP(1),(1/H70-1)),$K$3)</f>
        <v>0.70891112369786824</v>
      </c>
      <c r="J70" s="46">
        <f t="shared" si="3"/>
        <v>16.14962117886213</v>
      </c>
      <c r="K70" s="46">
        <f t="shared" si="4"/>
        <v>1.1264846394123003</v>
      </c>
      <c r="L70" s="46">
        <f t="shared" si="10"/>
        <v>-0.58502665202918203</v>
      </c>
      <c r="M70" s="46">
        <f t="shared" si="11"/>
        <v>5.1725274121137588E-2</v>
      </c>
      <c r="N70" s="113" t="s">
        <v>687</v>
      </c>
      <c r="O70" s="45" t="s">
        <v>130</v>
      </c>
    </row>
    <row r="71" spans="1:15" ht="45" customHeight="1" x14ac:dyDescent="0.4">
      <c r="A71" s="46" t="s">
        <v>686</v>
      </c>
      <c r="B71" s="46" t="s">
        <v>4</v>
      </c>
      <c r="C71" s="46">
        <v>1.08</v>
      </c>
      <c r="D71" s="46">
        <v>175</v>
      </c>
      <c r="E71" s="32">
        <v>0.56999999999999995</v>
      </c>
      <c r="F71" s="46">
        <v>20</v>
      </c>
      <c r="G71" s="46">
        <f t="shared" si="0"/>
        <v>891.23764822996441</v>
      </c>
      <c r="H71" s="46">
        <f t="shared" si="1"/>
        <v>1.0030769040247891</v>
      </c>
      <c r="I71" s="75">
        <f t="shared" si="12"/>
        <v>0.99185731704036495</v>
      </c>
      <c r="J71" s="46">
        <f t="shared" si="3"/>
        <v>883.980582618737</v>
      </c>
      <c r="K71" s="46">
        <f t="shared" si="4"/>
        <v>9.7583457672658298</v>
      </c>
      <c r="L71" s="46">
        <f t="shared" si="10"/>
        <v>-0.24412514432750865</v>
      </c>
      <c r="M71" s="46">
        <f t="shared" si="11"/>
        <v>0.98937620239636914</v>
      </c>
      <c r="N71" s="113" t="s">
        <v>688</v>
      </c>
      <c r="O71" s="45" t="s">
        <v>130</v>
      </c>
    </row>
    <row r="72" spans="1:15" ht="45" customHeight="1" x14ac:dyDescent="0.4">
      <c r="A72" s="45" t="s">
        <v>328</v>
      </c>
      <c r="B72" s="46" t="s">
        <v>4</v>
      </c>
      <c r="C72" s="46">
        <v>60</v>
      </c>
      <c r="D72" s="46">
        <v>27</v>
      </c>
      <c r="E72" s="32">
        <v>0.36</v>
      </c>
      <c r="F72" s="46">
        <v>24.8</v>
      </c>
      <c r="G72" s="46">
        <f t="shared" ref="G72:G75" si="13">(POWER(D72,0.67)*28)</f>
        <v>254.78376636833917</v>
      </c>
      <c r="H72" s="46">
        <f t="shared" ref="H72:H75" si="14">(F72+273.15)/$M$3</f>
        <v>1.0195011548837998</v>
      </c>
      <c r="I72" s="75">
        <f t="shared" si="12"/>
        <v>0.72514646122852766</v>
      </c>
      <c r="J72" s="46">
        <f t="shared" ref="J72:J75" si="15">G72*I72</f>
        <v>184.75554656047711</v>
      </c>
      <c r="K72" s="46">
        <f t="shared" ref="K72:K75" si="16">POWER(J72,0.08)*POWER(D72,0.336)*(1-POWER(EXP(1),-19.5*D72))</f>
        <v>4.5947937703597423</v>
      </c>
      <c r="L72" s="46">
        <f t="shared" si="10"/>
        <v>-0.44369749923271273</v>
      </c>
      <c r="M72" s="46">
        <f t="shared" si="11"/>
        <v>0.66226602357747</v>
      </c>
      <c r="N72" s="113" t="s">
        <v>330</v>
      </c>
      <c r="O72" s="45" t="s">
        <v>130</v>
      </c>
    </row>
    <row r="73" spans="1:15" ht="45" customHeight="1" x14ac:dyDescent="0.4">
      <c r="A73" s="45" t="s">
        <v>331</v>
      </c>
      <c r="B73" s="46" t="s">
        <v>4</v>
      </c>
      <c r="C73" s="46">
        <v>93</v>
      </c>
      <c r="D73" s="46">
        <v>69</v>
      </c>
      <c r="E73" s="32">
        <v>0.38</v>
      </c>
      <c r="F73" s="46">
        <v>26.76</v>
      </c>
      <c r="G73" s="46">
        <f t="shared" si="13"/>
        <v>477.73484846350499</v>
      </c>
      <c r="H73" s="46">
        <f t="shared" si="14"/>
        <v>1.0262077239845624</v>
      </c>
      <c r="I73" s="75">
        <f t="shared" si="12"/>
        <v>0.5624908289298971</v>
      </c>
      <c r="J73" s="46">
        <f t="shared" si="15"/>
        <v>268.7214709209357</v>
      </c>
      <c r="K73" s="46">
        <f t="shared" si="16"/>
        <v>6.4892944997806206</v>
      </c>
      <c r="L73" s="46">
        <f t="shared" si="10"/>
        <v>-0.42021640338318983</v>
      </c>
      <c r="M73" s="46">
        <f t="shared" si="11"/>
        <v>0.81219748393335789</v>
      </c>
      <c r="N73" s="113" t="s">
        <v>332</v>
      </c>
      <c r="O73" s="45" t="s">
        <v>130</v>
      </c>
    </row>
    <row r="74" spans="1:15" ht="45" customHeight="1" x14ac:dyDescent="0.4">
      <c r="A74" s="46" t="s">
        <v>678</v>
      </c>
      <c r="B74" s="46" t="s">
        <v>681</v>
      </c>
      <c r="C74" s="46">
        <v>4.8</v>
      </c>
      <c r="D74" s="46">
        <v>500</v>
      </c>
      <c r="E74" s="46">
        <v>0.41</v>
      </c>
      <c r="F74" s="46">
        <v>20</v>
      </c>
      <c r="G74" s="46">
        <f t="shared" si="13"/>
        <v>1800.8101682919182</v>
      </c>
      <c r="H74" s="46">
        <f t="shared" si="14"/>
        <v>1.0030769040247891</v>
      </c>
      <c r="I74" s="75">
        <f t="shared" si="12"/>
        <v>0.99185731704036495</v>
      </c>
      <c r="J74" s="46">
        <f t="shared" si="15"/>
        <v>1786.1467420210301</v>
      </c>
      <c r="K74" s="46">
        <f t="shared" si="16"/>
        <v>14.689509428587902</v>
      </c>
      <c r="L74" s="46">
        <f t="shared" si="10"/>
        <v>-0.38721614328026455</v>
      </c>
      <c r="M74" s="46">
        <f t="shared" si="11"/>
        <v>1.1670072923175017</v>
      </c>
      <c r="N74" s="113" t="s">
        <v>679</v>
      </c>
      <c r="O74" s="45" t="s">
        <v>130</v>
      </c>
    </row>
    <row r="75" spans="1:15" ht="45" customHeight="1" x14ac:dyDescent="0.4">
      <c r="A75" s="46" t="s">
        <v>680</v>
      </c>
      <c r="B75" s="46" t="s">
        <v>683</v>
      </c>
      <c r="C75" s="46">
        <v>1.65</v>
      </c>
      <c r="D75" s="46">
        <v>381</v>
      </c>
      <c r="E75" s="46">
        <v>0.6</v>
      </c>
      <c r="F75" s="46">
        <v>28.7</v>
      </c>
      <c r="G75" s="46">
        <f t="shared" si="13"/>
        <v>1500.9898831089195</v>
      </c>
      <c r="H75" s="46">
        <f t="shared" si="14"/>
        <v>1.0328458587067459</v>
      </c>
      <c r="I75" s="75">
        <f>POWER(H75*POWER(EXP(1),(1/H75-1)),$K$4)</f>
        <v>0.57024034313194438</v>
      </c>
      <c r="J75" s="46">
        <f t="shared" si="15"/>
        <v>855.92498598160728</v>
      </c>
      <c r="K75" s="46">
        <f t="shared" si="16"/>
        <v>12.641122740374632</v>
      </c>
      <c r="L75" s="46">
        <f t="shared" si="10"/>
        <v>-0.22184874961635639</v>
      </c>
      <c r="M75" s="46">
        <f t="shared" si="11"/>
        <v>1.1017856481785822</v>
      </c>
      <c r="N75" s="113" t="s">
        <v>682</v>
      </c>
      <c r="O75" s="45" t="s">
        <v>130</v>
      </c>
    </row>
    <row r="76" spans="1:15" ht="14.25" customHeight="1" x14ac:dyDescent="0.4"/>
    <row r="77" spans="1:15" ht="14.25" customHeight="1" x14ac:dyDescent="0.4">
      <c r="J77" s="49"/>
    </row>
    <row r="78" spans="1:15" ht="56.25" customHeight="1" x14ac:dyDescent="0.4"/>
    <row r="81" spans="1:9" x14ac:dyDescent="0.4">
      <c r="D81" s="2"/>
      <c r="E81" s="6"/>
      <c r="H81"/>
      <c r="I81"/>
    </row>
    <row r="82" spans="1:9" ht="24.75" x14ac:dyDescent="0.4">
      <c r="A82" s="9"/>
      <c r="B82" s="9"/>
      <c r="C82" s="9"/>
      <c r="D82" s="9"/>
      <c r="E82" s="9"/>
      <c r="H82"/>
      <c r="I82"/>
    </row>
    <row r="83" spans="1:9" ht="24.75" x14ac:dyDescent="0.4">
      <c r="A83" s="9"/>
      <c r="B83" s="9"/>
      <c r="C83" s="9"/>
      <c r="D83" s="9"/>
      <c r="E83" s="9"/>
      <c r="H83"/>
      <c r="I83"/>
    </row>
  </sheetData>
  <mergeCells count="9">
    <mergeCell ref="A6:O6"/>
    <mergeCell ref="A65:O65"/>
    <mergeCell ref="E5:F5"/>
    <mergeCell ref="A1:D1"/>
    <mergeCell ref="A3:B3"/>
    <mergeCell ref="C4:D5"/>
    <mergeCell ref="E1:M1"/>
    <mergeCell ref="K5:M5"/>
    <mergeCell ref="F2:H2"/>
  </mergeCells>
  <phoneticPr fontId="7" type="noConversion"/>
  <hyperlinks>
    <hyperlink ref="N25" r:id="rId1" display="https://doi.org/10.1016/j.zool.2009.12.001" xr:uid="{7C39DEA7-FBE9-4AB7-A4EC-9A7936985466}"/>
    <hyperlink ref="N27" r:id="rId2" display="https://doi.org/10.1242/jeb.185603" xr:uid="{860C7BF9-C5B1-4DA2-B683-D8CDB3F3F007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84BC-FDF9-45D9-B4D2-F5A6B9CBA23A}">
  <dimension ref="A1:I80"/>
  <sheetViews>
    <sheetView zoomScale="60" zoomScaleNormal="60" workbookViewId="0">
      <selection activeCell="H35" sqref="H35"/>
    </sheetView>
  </sheetViews>
  <sheetFormatPr defaultRowHeight="13.9" x14ac:dyDescent="0.4"/>
  <sheetData>
    <row r="1" spans="1:9" x14ac:dyDescent="0.4">
      <c r="A1" t="s">
        <v>352</v>
      </c>
    </row>
    <row r="2" spans="1:9" ht="14.25" thickBot="1" x14ac:dyDescent="0.45"/>
    <row r="3" spans="1:9" x14ac:dyDescent="0.4">
      <c r="A3" s="62" t="s">
        <v>353</v>
      </c>
      <c r="B3" s="62"/>
    </row>
    <row r="4" spans="1:9" x14ac:dyDescent="0.4">
      <c r="A4" s="59" t="s">
        <v>354</v>
      </c>
      <c r="B4" s="59">
        <v>0.72755170700022231</v>
      </c>
    </row>
    <row r="5" spans="1:9" x14ac:dyDescent="0.4">
      <c r="A5" s="59" t="s">
        <v>355</v>
      </c>
      <c r="B5" s="59">
        <v>0.52933148635893734</v>
      </c>
    </row>
    <row r="6" spans="1:9" x14ac:dyDescent="0.4">
      <c r="A6" s="59" t="s">
        <v>356</v>
      </c>
      <c r="B6" s="59">
        <v>0.51114966817711915</v>
      </c>
    </row>
    <row r="7" spans="1:9" x14ac:dyDescent="0.4">
      <c r="A7" s="59" t="s">
        <v>357</v>
      </c>
      <c r="B7" s="59">
        <v>0.69733361458596888</v>
      </c>
    </row>
    <row r="8" spans="1:9" ht="14.25" thickBot="1" x14ac:dyDescent="0.45">
      <c r="A8" s="60" t="s">
        <v>358</v>
      </c>
      <c r="B8" s="60">
        <v>56</v>
      </c>
    </row>
    <row r="10" spans="1:9" ht="14.25" thickBot="1" x14ac:dyDescent="0.45">
      <c r="A10" t="s">
        <v>359</v>
      </c>
    </row>
    <row r="11" spans="1:9" x14ac:dyDescent="0.4">
      <c r="A11" s="61"/>
      <c r="B11" s="61" t="s">
        <v>364</v>
      </c>
      <c r="C11" s="61" t="s">
        <v>365</v>
      </c>
      <c r="D11" s="61" t="s">
        <v>366</v>
      </c>
      <c r="E11" s="61" t="s">
        <v>367</v>
      </c>
      <c r="F11" s="61" t="s">
        <v>368</v>
      </c>
    </row>
    <row r="12" spans="1:9" x14ac:dyDescent="0.4">
      <c r="A12" s="59" t="s">
        <v>360</v>
      </c>
      <c r="B12" s="59">
        <v>1</v>
      </c>
      <c r="C12" s="59">
        <v>30.078520648265709</v>
      </c>
      <c r="D12" s="59">
        <v>30.078520648265709</v>
      </c>
      <c r="E12" s="59">
        <v>61.855065520579181</v>
      </c>
      <c r="F12" s="59">
        <v>1.6307765545940962E-10</v>
      </c>
    </row>
    <row r="13" spans="1:9" x14ac:dyDescent="0.4">
      <c r="A13" s="59" t="s">
        <v>361</v>
      </c>
      <c r="B13" s="59">
        <v>55</v>
      </c>
      <c r="C13" s="59">
        <v>26.74507935173429</v>
      </c>
      <c r="D13" s="59">
        <v>0.48627417003153256</v>
      </c>
      <c r="E13" s="59"/>
      <c r="F13" s="59"/>
    </row>
    <row r="14" spans="1:9" ht="14.25" thickBot="1" x14ac:dyDescent="0.45">
      <c r="A14" s="60" t="s">
        <v>362</v>
      </c>
      <c r="B14" s="60">
        <v>56</v>
      </c>
      <c r="C14" s="60">
        <v>56.823599999999999</v>
      </c>
      <c r="D14" s="60"/>
      <c r="E14" s="60"/>
      <c r="F14" s="60"/>
    </row>
    <row r="15" spans="1:9" ht="14.25" thickBot="1" x14ac:dyDescent="0.45"/>
    <row r="16" spans="1:9" x14ac:dyDescent="0.4">
      <c r="A16" s="61"/>
      <c r="B16" s="61" t="s">
        <v>369</v>
      </c>
      <c r="C16" s="61" t="s">
        <v>357</v>
      </c>
      <c r="D16" s="61" t="s">
        <v>370</v>
      </c>
      <c r="E16" s="61" t="s">
        <v>371</v>
      </c>
      <c r="F16" s="61" t="s">
        <v>372</v>
      </c>
      <c r="G16" s="61" t="s">
        <v>373</v>
      </c>
      <c r="H16" s="61" t="s">
        <v>374</v>
      </c>
      <c r="I16" s="61" t="s">
        <v>375</v>
      </c>
    </row>
    <row r="17" spans="1:9" x14ac:dyDescent="0.4">
      <c r="A17" s="59" t="s">
        <v>363</v>
      </c>
      <c r="B17" s="59">
        <v>0</v>
      </c>
      <c r="C17" s="59" t="e">
        <v>#N/A</v>
      </c>
      <c r="D17" s="59" t="e">
        <v>#N/A</v>
      </c>
      <c r="E17" s="59" t="e">
        <v>#N/A</v>
      </c>
      <c r="F17" s="59" t="e">
        <v>#N/A</v>
      </c>
      <c r="G17" s="59" t="e">
        <v>#N/A</v>
      </c>
      <c r="H17" s="59" t="e">
        <v>#N/A</v>
      </c>
      <c r="I17" s="59" t="e">
        <v>#N/A</v>
      </c>
    </row>
    <row r="18" spans="1:9" ht="14.25" thickBot="1" x14ac:dyDescent="0.45">
      <c r="A18" s="60">
        <v>5.9463609452142521</v>
      </c>
      <c r="B18" s="60">
        <v>2.4427384756419195E-2</v>
      </c>
      <c r="C18" s="60">
        <v>3.1059133640929503E-3</v>
      </c>
      <c r="D18" s="60">
        <v>7.864799140510784</v>
      </c>
      <c r="E18" s="60">
        <v>1.4489373092470469E-10</v>
      </c>
      <c r="F18" s="60">
        <v>1.8202995281760677E-2</v>
      </c>
      <c r="G18" s="60">
        <v>3.0651774231077712E-2</v>
      </c>
      <c r="H18" s="60">
        <v>1.8202995281760677E-2</v>
      </c>
      <c r="I18" s="60">
        <v>3.0651774231077712E-2</v>
      </c>
    </row>
    <row r="22" spans="1:9" x14ac:dyDescent="0.4">
      <c r="A22" t="s">
        <v>376</v>
      </c>
      <c r="F22" t="s">
        <v>379</v>
      </c>
    </row>
    <row r="23" spans="1:9" ht="14.25" thickBot="1" x14ac:dyDescent="0.45"/>
    <row r="24" spans="1:9" x14ac:dyDescent="0.4">
      <c r="A24" s="61" t="s">
        <v>358</v>
      </c>
      <c r="B24" s="61" t="s">
        <v>377</v>
      </c>
      <c r="C24" s="61" t="s">
        <v>361</v>
      </c>
      <c r="D24" s="61" t="s">
        <v>378</v>
      </c>
      <c r="F24" s="61" t="s">
        <v>380</v>
      </c>
      <c r="G24" s="61">
        <v>0.48</v>
      </c>
    </row>
    <row r="25" spans="1:9" x14ac:dyDescent="0.4">
      <c r="A25" s="59">
        <v>1</v>
      </c>
      <c r="B25" s="59">
        <v>0.21612105998270523</v>
      </c>
      <c r="C25" s="59">
        <v>0.1238789400172948</v>
      </c>
      <c r="D25" s="59">
        <v>0.17925428608928512</v>
      </c>
      <c r="F25" s="59">
        <v>0.8928571428571429</v>
      </c>
      <c r="G25" s="59">
        <v>0.06</v>
      </c>
    </row>
    <row r="26" spans="1:9" x14ac:dyDescent="0.4">
      <c r="A26" s="59">
        <v>2</v>
      </c>
      <c r="B26" s="59">
        <v>0.31908704493691031</v>
      </c>
      <c r="C26" s="59">
        <v>0.76091295506308976</v>
      </c>
      <c r="D26" s="59">
        <v>1.1010500131570387</v>
      </c>
      <c r="F26" s="59">
        <v>2.6785714285714288</v>
      </c>
      <c r="G26" s="59">
        <v>0.08</v>
      </c>
    </row>
    <row r="27" spans="1:9" x14ac:dyDescent="0.4">
      <c r="A27" s="59">
        <v>3</v>
      </c>
      <c r="B27" s="59">
        <v>0.6221639386468939</v>
      </c>
      <c r="C27" s="59">
        <v>0.22783606135310608</v>
      </c>
      <c r="D27" s="59">
        <v>0.3296814657725019</v>
      </c>
      <c r="F27" s="59">
        <v>4.4642857142857144</v>
      </c>
      <c r="G27" s="59">
        <v>0.09</v>
      </c>
    </row>
    <row r="28" spans="1:9" x14ac:dyDescent="0.4">
      <c r="A28" s="59">
        <v>4</v>
      </c>
      <c r="B28" s="59">
        <v>7.056621607285693E-2</v>
      </c>
      <c r="C28" s="59">
        <v>0.26943378392714312</v>
      </c>
      <c r="D28" s="59">
        <v>0.38987386055653978</v>
      </c>
      <c r="F28" s="59">
        <v>6.2500000000000009</v>
      </c>
      <c r="G28" s="59">
        <v>0.1</v>
      </c>
    </row>
    <row r="29" spans="1:9" x14ac:dyDescent="0.4">
      <c r="A29" s="59">
        <v>5</v>
      </c>
      <c r="B29" s="59">
        <v>4.3766184990406652E-2</v>
      </c>
      <c r="C29" s="59">
        <v>0.28623381500959338</v>
      </c>
      <c r="D29" s="59">
        <v>0.41418370351727213</v>
      </c>
      <c r="F29" s="59">
        <v>8.0357142857142865</v>
      </c>
      <c r="G29" s="59">
        <v>0.12</v>
      </c>
    </row>
    <row r="30" spans="1:9" x14ac:dyDescent="0.4">
      <c r="A30" s="59">
        <v>6</v>
      </c>
      <c r="B30" s="59">
        <v>0.27046312650930643</v>
      </c>
      <c r="C30" s="59">
        <v>0.41953687349069352</v>
      </c>
      <c r="D30" s="59">
        <v>0.60707480008470982</v>
      </c>
      <c r="F30" s="59">
        <v>9.8214285714285712</v>
      </c>
      <c r="G30" s="59">
        <v>0.14000000000000001</v>
      </c>
    </row>
    <row r="31" spans="1:9" x14ac:dyDescent="0.4">
      <c r="A31" s="59">
        <v>7</v>
      </c>
      <c r="B31" s="59">
        <v>2.7601901070841411E-2</v>
      </c>
      <c r="C31" s="59">
        <v>0.43239809892915859</v>
      </c>
      <c r="D31" s="59">
        <v>0.62568514486069471</v>
      </c>
      <c r="F31" s="59">
        <v>11.607142857142858</v>
      </c>
      <c r="G31" s="59">
        <v>0.14000000000000001</v>
      </c>
    </row>
    <row r="32" spans="1:9" x14ac:dyDescent="0.4">
      <c r="A32" s="59">
        <v>8</v>
      </c>
      <c r="B32" s="59">
        <v>7.7556765461413768E-2</v>
      </c>
      <c r="C32" s="59">
        <v>0.44244323453858625</v>
      </c>
      <c r="D32" s="59">
        <v>0.64022057446710412</v>
      </c>
      <c r="F32" s="59">
        <v>13.392857142857142</v>
      </c>
      <c r="G32" s="59">
        <v>0.14000000000000001</v>
      </c>
    </row>
    <row r="33" spans="1:7" x14ac:dyDescent="0.4">
      <c r="A33" s="59">
        <v>9</v>
      </c>
      <c r="B33" s="59">
        <v>0.10683992505877982</v>
      </c>
      <c r="C33" s="59">
        <v>0.48316007494122015</v>
      </c>
      <c r="D33" s="59">
        <v>0.69913832236813178</v>
      </c>
      <c r="F33" s="59">
        <v>15.178571428571429</v>
      </c>
      <c r="G33" s="59">
        <v>0.2</v>
      </c>
    </row>
    <row r="34" spans="1:7" x14ac:dyDescent="0.4">
      <c r="A34" s="59">
        <v>10</v>
      </c>
      <c r="B34" s="59">
        <v>0.11438860166480468</v>
      </c>
      <c r="C34" s="59">
        <v>0.51561139833519531</v>
      </c>
      <c r="D34" s="59">
        <v>0.74609576975045055</v>
      </c>
      <c r="F34" s="59">
        <v>16.964285714285715</v>
      </c>
      <c r="G34" s="59">
        <v>0.22</v>
      </c>
    </row>
    <row r="35" spans="1:7" x14ac:dyDescent="0.4">
      <c r="A35" s="59">
        <v>11</v>
      </c>
      <c r="B35" s="59">
        <v>6.0211345361826901E-2</v>
      </c>
      <c r="C35" s="59">
        <v>0.35978865463817311</v>
      </c>
      <c r="D35" s="59">
        <v>0.52061842328636398</v>
      </c>
      <c r="F35" s="59">
        <v>18.75</v>
      </c>
      <c r="G35" s="59">
        <v>0.24</v>
      </c>
    </row>
    <row r="36" spans="1:7" x14ac:dyDescent="0.4">
      <c r="A36" s="59">
        <v>12</v>
      </c>
      <c r="B36" s="59">
        <v>0.18439248894739144</v>
      </c>
      <c r="C36" s="59">
        <v>0.5256075110526085</v>
      </c>
      <c r="D36" s="59">
        <v>0.76056026265439181</v>
      </c>
      <c r="F36" s="59">
        <v>20.535714285714285</v>
      </c>
      <c r="G36" s="59">
        <v>0.28999999999999998</v>
      </c>
    </row>
    <row r="37" spans="1:7" x14ac:dyDescent="0.4">
      <c r="A37" s="59">
        <v>13</v>
      </c>
      <c r="B37" s="59">
        <v>0.19416850171322406</v>
      </c>
      <c r="C37" s="59">
        <v>0.24583149828677595</v>
      </c>
      <c r="D37" s="59">
        <v>0.35572107508752671</v>
      </c>
      <c r="F37" s="59">
        <v>22.321428571428573</v>
      </c>
      <c r="G37" s="59">
        <v>0.31</v>
      </c>
    </row>
    <row r="38" spans="1:7" x14ac:dyDescent="0.4">
      <c r="A38" s="59">
        <v>14</v>
      </c>
      <c r="B38" s="59">
        <v>0.25011878468604554</v>
      </c>
      <c r="C38" s="59">
        <v>0.84988121531395455</v>
      </c>
      <c r="D38" s="59">
        <v>1.2297881342101249</v>
      </c>
      <c r="F38" s="59">
        <v>24.107142857142858</v>
      </c>
      <c r="G38" s="59">
        <v>0.33</v>
      </c>
    </row>
    <row r="39" spans="1:7" x14ac:dyDescent="0.4">
      <c r="A39" s="59">
        <v>15</v>
      </c>
      <c r="B39" s="59">
        <v>3.2972496391555119E-2</v>
      </c>
      <c r="C39" s="59">
        <v>0.38702750360844485</v>
      </c>
      <c r="D39" s="59">
        <v>0.5600333587497951</v>
      </c>
      <c r="F39" s="59">
        <v>25.892857142857142</v>
      </c>
      <c r="G39" s="59">
        <v>0.34</v>
      </c>
    </row>
    <row r="40" spans="1:7" x14ac:dyDescent="0.4">
      <c r="A40" s="59">
        <v>16</v>
      </c>
      <c r="B40" s="59">
        <v>7.903535828382692E-2</v>
      </c>
      <c r="C40" s="59">
        <v>0.28096464171617308</v>
      </c>
      <c r="D40" s="59">
        <v>0.40655914766572127</v>
      </c>
      <c r="F40" s="59">
        <v>27.678571428571431</v>
      </c>
      <c r="G40" s="59">
        <v>0.34</v>
      </c>
    </row>
    <row r="41" spans="1:7" x14ac:dyDescent="0.4">
      <c r="A41" s="59">
        <v>17</v>
      </c>
      <c r="B41" s="59">
        <v>0.83543695452148881</v>
      </c>
      <c r="C41" s="59">
        <v>0.26456304547851128</v>
      </c>
      <c r="D41" s="59">
        <v>0.382825844620859</v>
      </c>
      <c r="F41" s="59">
        <v>29.464285714285715</v>
      </c>
      <c r="G41" s="59">
        <v>0.36</v>
      </c>
    </row>
    <row r="42" spans="1:7" x14ac:dyDescent="0.4">
      <c r="A42" s="59">
        <v>18</v>
      </c>
      <c r="B42" s="59">
        <v>0.16675168843099036</v>
      </c>
      <c r="C42" s="59">
        <v>0.7332483115690096</v>
      </c>
      <c r="D42" s="59">
        <v>1.0610189479997683</v>
      </c>
      <c r="F42" s="59">
        <v>31.25</v>
      </c>
      <c r="G42" s="59">
        <v>0.42</v>
      </c>
    </row>
    <row r="43" spans="1:7" x14ac:dyDescent="0.4">
      <c r="A43" s="59">
        <v>19</v>
      </c>
      <c r="B43" s="59">
        <v>0.40891863640609993</v>
      </c>
      <c r="C43" s="59">
        <v>0.53108136359390001</v>
      </c>
      <c r="D43" s="59">
        <v>0.76848099178970919</v>
      </c>
      <c r="F43" s="59">
        <v>33.035714285714292</v>
      </c>
      <c r="G43" s="59">
        <v>0.42</v>
      </c>
    </row>
    <row r="44" spans="1:7" x14ac:dyDescent="0.4">
      <c r="A44" s="59">
        <v>20</v>
      </c>
      <c r="B44" s="59">
        <v>5.7871576472563489E-2</v>
      </c>
      <c r="C44" s="59">
        <v>0.6521284235274365</v>
      </c>
      <c r="D44" s="59">
        <v>0.94363751402475327</v>
      </c>
      <c r="F44" s="59">
        <v>34.821428571428577</v>
      </c>
      <c r="G44" s="59">
        <v>0.44</v>
      </c>
    </row>
    <row r="45" spans="1:7" x14ac:dyDescent="0.4">
      <c r="A45" s="59">
        <v>21</v>
      </c>
      <c r="B45" s="59">
        <v>3.0687063507895958E-2</v>
      </c>
      <c r="C45" s="59">
        <v>0.18931293649210404</v>
      </c>
      <c r="D45" s="59">
        <v>0.27393805011263883</v>
      </c>
      <c r="F45" s="59">
        <v>36.607142857142861</v>
      </c>
      <c r="G45" s="59">
        <v>0.46</v>
      </c>
    </row>
    <row r="46" spans="1:7" x14ac:dyDescent="0.4">
      <c r="A46" s="59">
        <v>22</v>
      </c>
      <c r="B46" s="59">
        <v>5.0074668064098479E-2</v>
      </c>
      <c r="C46" s="59">
        <v>0.69992533193590156</v>
      </c>
      <c r="D46" s="59">
        <v>1.01280020376716</v>
      </c>
      <c r="F46" s="59">
        <v>38.392857142857146</v>
      </c>
      <c r="G46" s="59">
        <v>0.5</v>
      </c>
    </row>
    <row r="47" spans="1:7" x14ac:dyDescent="0.4">
      <c r="A47" s="59">
        <v>23</v>
      </c>
      <c r="B47" s="59">
        <v>4.3117771187204348E-2</v>
      </c>
      <c r="C47" s="59">
        <v>0.62688222881279565</v>
      </c>
      <c r="D47" s="59">
        <v>0.9071059727521833</v>
      </c>
      <c r="F47" s="59">
        <v>40.178571428571431</v>
      </c>
      <c r="G47" s="59">
        <v>0.52</v>
      </c>
    </row>
    <row r="48" spans="1:7" x14ac:dyDescent="0.4">
      <c r="A48" s="59">
        <v>24</v>
      </c>
      <c r="B48" s="59">
        <v>6.4020763678619835E-2</v>
      </c>
      <c r="C48" s="59">
        <v>0.57597923632138015</v>
      </c>
      <c r="D48" s="59">
        <v>0.83344874273727487</v>
      </c>
      <c r="F48" s="59">
        <v>41.964285714285722</v>
      </c>
      <c r="G48" s="59">
        <v>0.53</v>
      </c>
    </row>
    <row r="49" spans="1:7" x14ac:dyDescent="0.4">
      <c r="A49" s="59">
        <v>25</v>
      </c>
      <c r="B49" s="59">
        <v>4.2767848838835429E-2</v>
      </c>
      <c r="C49" s="59">
        <v>0.6472321511611645</v>
      </c>
      <c r="D49" s="59">
        <v>0.93655255020933603</v>
      </c>
      <c r="F49" s="59">
        <v>43.750000000000007</v>
      </c>
      <c r="G49" s="59">
        <v>0.56999999999999995</v>
      </c>
    </row>
    <row r="50" spans="1:7" x14ac:dyDescent="0.4">
      <c r="A50" s="59">
        <v>26</v>
      </c>
      <c r="B50" s="59">
        <v>7.1641564562757217E-3</v>
      </c>
      <c r="C50" s="59">
        <v>0.1328358435437243</v>
      </c>
      <c r="D50" s="59">
        <v>0.19221503104703636</v>
      </c>
      <c r="F50" s="59">
        <v>45.535714285714292</v>
      </c>
      <c r="G50" s="59">
        <v>0.59</v>
      </c>
    </row>
    <row r="51" spans="1:7" x14ac:dyDescent="0.4">
      <c r="A51" s="59">
        <v>27</v>
      </c>
      <c r="B51" s="59">
        <v>2.7660733456896314E-3</v>
      </c>
      <c r="C51" s="59">
        <v>8.7233926654310359E-2</v>
      </c>
      <c r="D51" s="59">
        <v>0.1262285199001571</v>
      </c>
      <c r="F51" s="59">
        <v>47.321428571428577</v>
      </c>
      <c r="G51" s="59">
        <v>0.6</v>
      </c>
    </row>
    <row r="52" spans="1:7" x14ac:dyDescent="0.4">
      <c r="A52" s="59">
        <v>28</v>
      </c>
      <c r="B52" s="59">
        <v>2.3520526181506522E-2</v>
      </c>
      <c r="C52" s="59">
        <v>5.6479473818493484E-2</v>
      </c>
      <c r="D52" s="59">
        <v>8.1726464212715066E-2</v>
      </c>
      <c r="F52" s="59">
        <v>49.107142857142861</v>
      </c>
      <c r="G52" s="59">
        <v>0.63</v>
      </c>
    </row>
    <row r="53" spans="1:7" x14ac:dyDescent="0.4">
      <c r="A53" s="59">
        <v>29</v>
      </c>
      <c r="B53" s="59">
        <v>2.4602945561103609E-2</v>
      </c>
      <c r="C53" s="59">
        <v>0.26539705443889638</v>
      </c>
      <c r="D53" s="59">
        <v>0.38403266541513625</v>
      </c>
      <c r="F53" s="59">
        <v>50.892857142857146</v>
      </c>
      <c r="G53" s="59">
        <v>0.64</v>
      </c>
    </row>
    <row r="54" spans="1:7" x14ac:dyDescent="0.4">
      <c r="A54" s="59">
        <v>30</v>
      </c>
      <c r="B54" s="59">
        <v>0.10176647106045118</v>
      </c>
      <c r="C54" s="59">
        <v>0.53823352893954879</v>
      </c>
      <c r="D54" s="59">
        <v>0.77883025933145444</v>
      </c>
      <c r="F54" s="59">
        <v>52.678571428571438</v>
      </c>
      <c r="G54" s="59">
        <v>0.64</v>
      </c>
    </row>
    <row r="55" spans="1:7" x14ac:dyDescent="0.4">
      <c r="A55" s="59">
        <v>31</v>
      </c>
      <c r="B55" s="59">
        <v>0.16924351887833888</v>
      </c>
      <c r="C55" s="59">
        <v>0.33075648112166112</v>
      </c>
      <c r="D55" s="59">
        <v>0.47860852607061405</v>
      </c>
      <c r="F55" s="59">
        <v>54.464285714285722</v>
      </c>
      <c r="G55" s="59">
        <v>0.67</v>
      </c>
    </row>
    <row r="56" spans="1:7" x14ac:dyDescent="0.4">
      <c r="A56" s="59">
        <v>32</v>
      </c>
      <c r="B56" s="59">
        <v>4.2428929269119155E-2</v>
      </c>
      <c r="C56" s="59">
        <v>0.26757107073088082</v>
      </c>
      <c r="D56" s="59">
        <v>0.38717849260991</v>
      </c>
      <c r="F56" s="59">
        <v>56.250000000000007</v>
      </c>
      <c r="G56" s="59">
        <v>0.69</v>
      </c>
    </row>
    <row r="57" spans="1:7" x14ac:dyDescent="0.4">
      <c r="A57" s="59">
        <v>33</v>
      </c>
      <c r="B57" s="59">
        <v>2.419649340810269E-2</v>
      </c>
      <c r="C57" s="59">
        <v>0.21580350659189729</v>
      </c>
      <c r="D57" s="59">
        <v>0.3122702172321965</v>
      </c>
      <c r="F57" s="59">
        <v>58.035714285714292</v>
      </c>
      <c r="G57" s="59">
        <v>0.69</v>
      </c>
    </row>
    <row r="58" spans="1:7" x14ac:dyDescent="0.4">
      <c r="A58" s="59">
        <v>34</v>
      </c>
      <c r="B58" s="59">
        <v>2.3956326501532215E-2</v>
      </c>
      <c r="C58" s="59">
        <v>0.11604367349846779</v>
      </c>
      <c r="D58" s="59">
        <v>0.16791656309976383</v>
      </c>
      <c r="F58" s="59">
        <v>59.821428571428577</v>
      </c>
      <c r="G58" s="59">
        <v>0.71</v>
      </c>
    </row>
    <row r="59" spans="1:7" x14ac:dyDescent="0.4">
      <c r="A59" s="59">
        <v>35</v>
      </c>
      <c r="B59" s="59">
        <v>0.18023794521044859</v>
      </c>
      <c r="C59" s="59">
        <v>0.41976205478955142</v>
      </c>
      <c r="D59" s="59">
        <v>0.60740064007786598</v>
      </c>
      <c r="F59" s="59">
        <v>61.607142857142861</v>
      </c>
      <c r="G59" s="59">
        <v>0.71</v>
      </c>
    </row>
    <row r="60" spans="1:7" x14ac:dyDescent="0.4">
      <c r="A60" s="59">
        <v>36</v>
      </c>
      <c r="B60" s="59">
        <v>2.5574171612415916E-2</v>
      </c>
      <c r="C60" s="59">
        <v>0.54442582838758402</v>
      </c>
      <c r="D60" s="59">
        <v>0.78779058960755843</v>
      </c>
      <c r="F60" s="59">
        <v>63.392857142857146</v>
      </c>
      <c r="G60" s="59">
        <v>0.75</v>
      </c>
    </row>
    <row r="61" spans="1:7" x14ac:dyDescent="0.4">
      <c r="A61" s="59">
        <v>37</v>
      </c>
      <c r="B61" s="59">
        <v>2.6731257739387712E-2</v>
      </c>
      <c r="C61" s="59">
        <v>9.3268742260612283E-2</v>
      </c>
      <c r="D61" s="59">
        <v>0.1349609692013628</v>
      </c>
      <c r="F61" s="59">
        <v>65.178571428571431</v>
      </c>
      <c r="G61" s="59">
        <v>0.85</v>
      </c>
    </row>
    <row r="62" spans="1:7" x14ac:dyDescent="0.4">
      <c r="A62" s="59">
        <v>38</v>
      </c>
      <c r="B62" s="59">
        <v>5.3592464985404424E-2</v>
      </c>
      <c r="C62" s="59">
        <v>8.6407535014595582E-2</v>
      </c>
      <c r="D62" s="59">
        <v>0.12503272145865812</v>
      </c>
      <c r="F62" s="59">
        <v>66.964285714285708</v>
      </c>
      <c r="G62" s="59">
        <v>0.9</v>
      </c>
    </row>
    <row r="63" spans="1:7" x14ac:dyDescent="0.4">
      <c r="A63" s="59">
        <v>39</v>
      </c>
      <c r="B63" s="59">
        <v>6.1034705703930159E-2</v>
      </c>
      <c r="C63" s="59">
        <v>0.46896529429606987</v>
      </c>
      <c r="D63" s="59">
        <v>0.67859830749243799</v>
      </c>
      <c r="F63" s="59">
        <v>68.75</v>
      </c>
      <c r="G63" s="59">
        <v>0.94</v>
      </c>
    </row>
    <row r="64" spans="1:7" x14ac:dyDescent="0.4">
      <c r="A64" s="59">
        <v>40</v>
      </c>
      <c r="B64" s="59">
        <v>1.8730813211968674E-2</v>
      </c>
      <c r="C64" s="59">
        <v>8.1269186788031328E-2</v>
      </c>
      <c r="D64" s="59">
        <v>0.11759747102059069</v>
      </c>
      <c r="F64" s="59">
        <v>70.535714285714292</v>
      </c>
      <c r="G64" s="59">
        <v>1.08</v>
      </c>
    </row>
    <row r="65" spans="1:7" x14ac:dyDescent="0.4">
      <c r="A65" s="59">
        <v>41</v>
      </c>
      <c r="B65" s="59">
        <v>1.4732851225000645E-2</v>
      </c>
      <c r="C65" s="59">
        <v>4.526714877499935E-2</v>
      </c>
      <c r="D65" s="59">
        <v>6.5502097740157611E-2</v>
      </c>
      <c r="F65" s="59">
        <v>72.321428571428569</v>
      </c>
      <c r="G65" s="59">
        <v>1.0900000000000001</v>
      </c>
    </row>
    <row r="66" spans="1:7" x14ac:dyDescent="0.4">
      <c r="A66" s="59">
        <v>42</v>
      </c>
      <c r="B66" s="59">
        <v>4.5153283741332942E-2</v>
      </c>
      <c r="C66" s="59">
        <v>0.15484671625866708</v>
      </c>
      <c r="D66" s="59">
        <v>0.22406502325853214</v>
      </c>
      <c r="F66" s="59">
        <v>74.107142857142861</v>
      </c>
      <c r="G66" s="59">
        <v>1.1000000000000001</v>
      </c>
    </row>
    <row r="67" spans="1:7" x14ac:dyDescent="0.4">
      <c r="A67" s="59">
        <v>43</v>
      </c>
      <c r="B67" s="59">
        <v>0.22418526664866611</v>
      </c>
      <c r="C67" s="59">
        <v>0.86581473335133396</v>
      </c>
      <c r="D67" s="59">
        <v>1.2528441225829865</v>
      </c>
      <c r="F67" s="59">
        <v>75.892857142857139</v>
      </c>
      <c r="G67" s="59">
        <v>1.1000000000000001</v>
      </c>
    </row>
    <row r="68" spans="1:7" x14ac:dyDescent="0.4">
      <c r="A68" s="59">
        <v>44</v>
      </c>
      <c r="B68" s="59">
        <v>0.33464990615193824</v>
      </c>
      <c r="C68" s="59">
        <v>1.9153500938480619</v>
      </c>
      <c r="D68" s="59">
        <v>2.7715341577498682</v>
      </c>
      <c r="F68" s="59">
        <v>77.678571428571431</v>
      </c>
      <c r="G68" s="59">
        <v>1.24</v>
      </c>
    </row>
    <row r="69" spans="1:7" x14ac:dyDescent="0.4">
      <c r="A69" s="59">
        <v>45</v>
      </c>
      <c r="B69" s="59">
        <v>9.0642552196642842E-2</v>
      </c>
      <c r="C69" s="59">
        <v>1.7693574478033574</v>
      </c>
      <c r="D69" s="59">
        <v>2.5602810784340813</v>
      </c>
      <c r="F69" s="59">
        <v>79.464285714285708</v>
      </c>
      <c r="G69" s="59">
        <v>1.37</v>
      </c>
    </row>
    <row r="70" spans="1:7" x14ac:dyDescent="0.4">
      <c r="A70" s="59">
        <v>46</v>
      </c>
      <c r="B70" s="59">
        <v>8.2889466739182321E-2</v>
      </c>
      <c r="C70" s="59">
        <v>1.1571105332608176</v>
      </c>
      <c r="D70" s="59">
        <v>1.674352577904705</v>
      </c>
      <c r="F70" s="59">
        <v>81.25</v>
      </c>
      <c r="G70" s="59">
        <v>1.4</v>
      </c>
    </row>
    <row r="71" spans="1:7" x14ac:dyDescent="0.4">
      <c r="A71" s="59">
        <v>47</v>
      </c>
      <c r="B71" s="59">
        <v>0.26581784799704439</v>
      </c>
      <c r="C71" s="59">
        <v>1.7341821520029557</v>
      </c>
      <c r="D71" s="59">
        <v>2.5093820108782872</v>
      </c>
      <c r="F71" s="59">
        <v>83.035714285714292</v>
      </c>
      <c r="G71" s="59">
        <v>1.4</v>
      </c>
    </row>
    <row r="72" spans="1:7" x14ac:dyDescent="0.4">
      <c r="A72" s="59">
        <v>48</v>
      </c>
      <c r="B72" s="59">
        <v>0.10588013487410626</v>
      </c>
      <c r="C72" s="59">
        <v>1.2641198651258938</v>
      </c>
      <c r="D72" s="59">
        <v>1.8291963421933535</v>
      </c>
      <c r="F72" s="59">
        <v>84.821428571428569</v>
      </c>
      <c r="G72" s="59">
        <v>1.6</v>
      </c>
    </row>
    <row r="73" spans="1:7" x14ac:dyDescent="0.4">
      <c r="A73" s="59">
        <v>49</v>
      </c>
      <c r="B73" s="59">
        <v>0.70676924162683974</v>
      </c>
      <c r="C73" s="59">
        <v>0.69323075837316017</v>
      </c>
      <c r="D73" s="59">
        <v>1.0031130769278935</v>
      </c>
      <c r="F73" s="59">
        <v>86.607142857142861</v>
      </c>
      <c r="G73" s="59">
        <v>1.65</v>
      </c>
    </row>
    <row r="74" spans="1:7" x14ac:dyDescent="0.4">
      <c r="A74" s="59">
        <v>50</v>
      </c>
      <c r="B74" s="59">
        <v>2.7018525025560867</v>
      </c>
      <c r="C74" s="59">
        <v>-0.40185250255608684</v>
      </c>
      <c r="D74" s="59">
        <v>-0.58148530693616929</v>
      </c>
      <c r="F74" s="59">
        <v>88.392857142857139</v>
      </c>
      <c r="G74" s="59">
        <v>1.8</v>
      </c>
    </row>
    <row r="75" spans="1:7" x14ac:dyDescent="0.4">
      <c r="A75" s="59">
        <v>51</v>
      </c>
      <c r="B75" s="59">
        <v>3.5243033134943702</v>
      </c>
      <c r="C75" s="59">
        <v>-1.4443033134943701</v>
      </c>
      <c r="D75" s="59">
        <v>-2.0899239154022262</v>
      </c>
      <c r="F75" s="59">
        <v>90.178571428571431</v>
      </c>
      <c r="G75" s="59">
        <v>1.86</v>
      </c>
    </row>
    <row r="76" spans="1:7" x14ac:dyDescent="0.4">
      <c r="A76" s="59">
        <v>52</v>
      </c>
      <c r="B76" s="59">
        <v>1.6332645567187289</v>
      </c>
      <c r="C76" s="59">
        <v>1.6735443281270967E-2</v>
      </c>
      <c r="D76" s="59">
        <v>2.4216383651273841E-2</v>
      </c>
      <c r="F76" s="59">
        <v>91.964285714285708</v>
      </c>
      <c r="G76" s="59">
        <v>1.99</v>
      </c>
    </row>
    <row r="77" spans="1:7" x14ac:dyDescent="0.4">
      <c r="A77" s="59">
        <v>53</v>
      </c>
      <c r="B77" s="59">
        <v>1.3709615726652378</v>
      </c>
      <c r="C77" s="59">
        <v>0.22903842733476232</v>
      </c>
      <c r="D77" s="59">
        <v>0.33142130351755966</v>
      </c>
      <c r="F77" s="59">
        <v>93.75</v>
      </c>
      <c r="G77" s="59">
        <v>2</v>
      </c>
    </row>
    <row r="78" spans="1:7" x14ac:dyDescent="0.4">
      <c r="A78" s="59">
        <v>54</v>
      </c>
      <c r="B78" s="59">
        <v>0.71145698458491358</v>
      </c>
      <c r="C78" s="59">
        <v>0.68854301541508633</v>
      </c>
      <c r="D78" s="59">
        <v>0.99632985762360915</v>
      </c>
      <c r="F78" s="59">
        <v>95.535714285714292</v>
      </c>
      <c r="G78" s="59">
        <v>2.08</v>
      </c>
    </row>
    <row r="79" spans="1:7" x14ac:dyDescent="0.4">
      <c r="A79" s="59">
        <v>55</v>
      </c>
      <c r="B79" s="59">
        <v>0.30382062219835759</v>
      </c>
      <c r="C79" s="59">
        <v>1.4961793778016426</v>
      </c>
      <c r="D79" s="59">
        <v>2.1649891918021029</v>
      </c>
      <c r="F79" s="59">
        <v>97.321428571428569</v>
      </c>
      <c r="G79" s="59">
        <v>2.25</v>
      </c>
    </row>
    <row r="80" spans="1:7" ht="14.25" thickBot="1" x14ac:dyDescent="0.45">
      <c r="A80" s="60">
        <v>56</v>
      </c>
      <c r="B80" s="60">
        <v>1.6332645567187289</v>
      </c>
      <c r="C80" s="60">
        <v>0.35673544328127105</v>
      </c>
      <c r="D80" s="60">
        <v>0.51620039047154687</v>
      </c>
      <c r="F80" s="60">
        <v>99.107142857142861</v>
      </c>
      <c r="G80" s="60">
        <v>2.2999999999999998</v>
      </c>
    </row>
  </sheetData>
  <sortState xmlns:xlrd2="http://schemas.microsoft.com/office/spreadsheetml/2017/richdata2" ref="G25:G80">
    <sortCondition ref="G25"/>
  </sortState>
  <phoneticPr fontId="7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6211-15BA-4571-B91E-F7F67CBE76F9}">
  <dimension ref="A1:F9"/>
  <sheetViews>
    <sheetView workbookViewId="0">
      <selection activeCell="I1" sqref="I1"/>
    </sheetView>
  </sheetViews>
  <sheetFormatPr defaultRowHeight="13.9" x14ac:dyDescent="0.4"/>
  <cols>
    <col min="1" max="1" width="58.86328125" customWidth="1"/>
    <col min="3" max="3" width="19.86328125" customWidth="1"/>
    <col min="6" max="6" width="24.46484375" customWidth="1"/>
  </cols>
  <sheetData>
    <row r="1" spans="1:6" ht="404.65" customHeight="1" x14ac:dyDescent="0.4">
      <c r="A1" s="170" t="e" vm="1">
        <v>#VALUE!</v>
      </c>
      <c r="B1" s="170"/>
      <c r="C1" s="170"/>
      <c r="D1" s="170"/>
      <c r="E1" s="170"/>
      <c r="F1" s="170"/>
    </row>
    <row r="2" spans="1:6" x14ac:dyDescent="0.4">
      <c r="A2" s="3"/>
      <c r="B2" s="3" t="s">
        <v>726</v>
      </c>
      <c r="C2" s="3" t="s">
        <v>778</v>
      </c>
      <c r="D2" s="3" t="s">
        <v>779</v>
      </c>
      <c r="E2" s="3" t="s">
        <v>780</v>
      </c>
      <c r="F2" s="122" t="s">
        <v>781</v>
      </c>
    </row>
    <row r="3" spans="1:6" x14ac:dyDescent="0.4">
      <c r="A3" s="3" t="s">
        <v>782</v>
      </c>
      <c r="B3" s="3">
        <v>0.79200000000000004</v>
      </c>
      <c r="C3" s="3">
        <v>0.78500000000000003</v>
      </c>
      <c r="D3" s="3">
        <v>0</v>
      </c>
      <c r="E3" s="3">
        <v>102.977</v>
      </c>
      <c r="F3" s="3">
        <v>4.4189999999999996</v>
      </c>
    </row>
    <row r="4" spans="1:6" x14ac:dyDescent="0.4">
      <c r="A4" s="3" t="s">
        <v>783</v>
      </c>
      <c r="B4" s="3">
        <v>0.65300000000000002</v>
      </c>
      <c r="C4" s="3">
        <v>0.64700000000000002</v>
      </c>
      <c r="D4" s="3">
        <v>0</v>
      </c>
      <c r="E4" s="3">
        <v>103.66800000000001</v>
      </c>
      <c r="F4" s="3">
        <v>16.579999999999998</v>
      </c>
    </row>
    <row r="5" spans="1:6" x14ac:dyDescent="0.4">
      <c r="A5" s="3" t="s">
        <v>784</v>
      </c>
      <c r="B5" s="3">
        <v>0.55600000000000005</v>
      </c>
      <c r="C5" s="3">
        <v>0.309</v>
      </c>
      <c r="D5" s="3">
        <v>0</v>
      </c>
      <c r="E5" s="3">
        <v>21.651</v>
      </c>
      <c r="F5" s="3">
        <v>14.69</v>
      </c>
    </row>
    <row r="6" spans="1:6" x14ac:dyDescent="0.4">
      <c r="A6" s="3" t="s">
        <v>785</v>
      </c>
      <c r="B6" s="3">
        <v>0.311</v>
      </c>
      <c r="C6" s="3">
        <v>0.29799999999999999</v>
      </c>
      <c r="D6" s="3">
        <v>0</v>
      </c>
      <c r="E6" s="3">
        <v>24.797999999999998</v>
      </c>
      <c r="F6" s="3">
        <v>14.663</v>
      </c>
    </row>
    <row r="7" spans="1:6" x14ac:dyDescent="0.4">
      <c r="A7" s="3" t="s">
        <v>786</v>
      </c>
      <c r="B7" s="3">
        <v>0.22700000000000001</v>
      </c>
      <c r="C7" s="3">
        <v>0.21299999999999999</v>
      </c>
      <c r="D7" s="3">
        <v>0</v>
      </c>
      <c r="E7" s="3">
        <v>16.155999999999999</v>
      </c>
      <c r="F7" s="3">
        <v>16.443999999999999</v>
      </c>
    </row>
    <row r="8" spans="1:6" x14ac:dyDescent="0.4">
      <c r="A8" s="3"/>
      <c r="B8" s="3"/>
      <c r="C8" s="3"/>
      <c r="D8" s="3"/>
      <c r="E8" s="3"/>
      <c r="F8" s="3"/>
    </row>
    <row r="9" spans="1:6" x14ac:dyDescent="0.4">
      <c r="A9" s="169" t="s">
        <v>704</v>
      </c>
      <c r="B9" s="169"/>
      <c r="C9" s="169"/>
      <c r="D9" s="169"/>
      <c r="E9" s="169"/>
      <c r="F9" s="169"/>
    </row>
  </sheetData>
  <mergeCells count="2">
    <mergeCell ref="A9:F9"/>
    <mergeCell ref="A1:F1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A2EF-B67D-425B-A65C-0B5903497422}">
  <dimension ref="A1:T68"/>
  <sheetViews>
    <sheetView topLeftCell="A37" zoomScale="60" zoomScaleNormal="60" workbookViewId="0">
      <selection activeCell="A51" sqref="A51:Q51"/>
    </sheetView>
  </sheetViews>
  <sheetFormatPr defaultRowHeight="13.9" x14ac:dyDescent="0.4"/>
  <cols>
    <col min="1" max="1" width="64.3984375" customWidth="1"/>
    <col min="2" max="2" width="27.53125" customWidth="1"/>
    <col min="3" max="3" width="23.796875" customWidth="1"/>
    <col min="4" max="4" width="16.59765625" customWidth="1"/>
    <col min="5" max="5" width="26.59765625" customWidth="1"/>
    <col min="6" max="6" width="41.86328125" customWidth="1"/>
    <col min="7" max="7" width="21" customWidth="1"/>
    <col min="8" max="8" width="22.3984375" customWidth="1"/>
    <col min="9" max="9" width="27.1328125" customWidth="1"/>
    <col min="10" max="10" width="15.86328125" customWidth="1"/>
    <col min="11" max="11" width="23.1328125" customWidth="1"/>
    <col min="12" max="12" width="30.73046875" customWidth="1"/>
    <col min="13" max="13" width="19.53125" customWidth="1"/>
    <col min="14" max="14" width="16.59765625" customWidth="1"/>
    <col min="15" max="15" width="13.265625" customWidth="1"/>
    <col min="16" max="16" width="28.59765625" customWidth="1"/>
    <col min="17" max="17" width="16.46484375" customWidth="1"/>
    <col min="18" max="18" width="14" customWidth="1"/>
    <col min="19" max="19" width="15.59765625" customWidth="1"/>
    <col min="20" max="20" width="13.1328125" customWidth="1"/>
  </cols>
  <sheetData>
    <row r="1" spans="1:20" ht="24.75" x14ac:dyDescent="0.4">
      <c r="A1" s="177" t="s">
        <v>777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</row>
    <row r="2" spans="1:20" ht="28.5" customHeight="1" x14ac:dyDescent="0.4">
      <c r="A2" s="179" t="s">
        <v>768</v>
      </c>
      <c r="B2" s="179"/>
      <c r="C2" s="157" t="s">
        <v>760</v>
      </c>
      <c r="D2" s="158"/>
      <c r="E2" s="158"/>
      <c r="F2" s="158"/>
      <c r="G2" s="190" t="s">
        <v>742</v>
      </c>
      <c r="H2" s="190"/>
      <c r="I2" s="190"/>
      <c r="J2" s="190"/>
      <c r="K2" s="190"/>
      <c r="L2" s="158" t="s">
        <v>144</v>
      </c>
      <c r="M2" s="158"/>
      <c r="N2" s="158"/>
      <c r="O2" s="158"/>
      <c r="P2" s="181" t="s">
        <v>749</v>
      </c>
      <c r="Q2" s="182"/>
      <c r="R2" s="182"/>
      <c r="S2" s="183"/>
      <c r="T2" s="81"/>
    </row>
    <row r="3" spans="1:20" ht="106.5" customHeight="1" x14ac:dyDescent="0.4">
      <c r="A3" s="11" t="s">
        <v>769</v>
      </c>
      <c r="B3" s="11">
        <v>1035</v>
      </c>
      <c r="C3" s="120" t="s">
        <v>761</v>
      </c>
      <c r="D3" s="19" t="s">
        <v>146</v>
      </c>
      <c r="E3" s="120" t="s">
        <v>762</v>
      </c>
      <c r="F3" s="23" t="s">
        <v>193</v>
      </c>
      <c r="G3" s="13" t="s">
        <v>756</v>
      </c>
      <c r="H3" s="12" t="s">
        <v>138</v>
      </c>
      <c r="I3" s="20">
        <v>0.25946024608303198</v>
      </c>
      <c r="J3" s="12" t="s">
        <v>139</v>
      </c>
      <c r="K3" s="20">
        <v>0.50850041982581196</v>
      </c>
      <c r="L3" s="120" t="s">
        <v>752</v>
      </c>
      <c r="M3" s="25">
        <v>0.85</v>
      </c>
      <c r="N3" s="159" t="s">
        <v>751</v>
      </c>
      <c r="O3" s="18">
        <v>4</v>
      </c>
      <c r="P3" s="184" t="s">
        <v>280</v>
      </c>
      <c r="Q3" s="185"/>
      <c r="R3" s="185"/>
      <c r="S3" s="186"/>
      <c r="T3" s="81"/>
    </row>
    <row r="4" spans="1:20" ht="111" customHeight="1" x14ac:dyDescent="0.4">
      <c r="A4" s="10" t="s">
        <v>772</v>
      </c>
      <c r="B4" s="121">
        <v>0.16669999999999999</v>
      </c>
      <c r="C4" s="159" t="s">
        <v>767</v>
      </c>
      <c r="D4" s="160"/>
      <c r="E4" s="120" t="s">
        <v>763</v>
      </c>
      <c r="F4" s="23" t="s">
        <v>145</v>
      </c>
      <c r="G4" s="13" t="s">
        <v>757</v>
      </c>
      <c r="H4" s="12" t="s">
        <v>138</v>
      </c>
      <c r="I4" s="20">
        <v>0.24636400895251201</v>
      </c>
      <c r="J4" s="12" t="s">
        <v>139</v>
      </c>
      <c r="K4" s="20">
        <v>0.27839410746996801</v>
      </c>
      <c r="L4" s="120" t="s">
        <v>753</v>
      </c>
      <c r="M4" s="25">
        <v>0.6</v>
      </c>
      <c r="N4" s="160"/>
      <c r="O4" s="18">
        <v>6</v>
      </c>
      <c r="P4" s="43" t="s">
        <v>277</v>
      </c>
      <c r="Q4" s="44">
        <v>1.1356941</v>
      </c>
      <c r="R4" s="181" t="s">
        <v>747</v>
      </c>
      <c r="S4" s="183"/>
      <c r="T4" s="81"/>
    </row>
    <row r="5" spans="1:20" ht="84.75" customHeight="1" x14ac:dyDescent="0.4">
      <c r="A5" s="10" t="s">
        <v>770</v>
      </c>
      <c r="B5" s="11">
        <v>9000</v>
      </c>
      <c r="C5" s="120" t="s">
        <v>765</v>
      </c>
      <c r="D5" s="19" t="s">
        <v>142</v>
      </c>
      <c r="E5" s="159" t="s">
        <v>764</v>
      </c>
      <c r="F5" s="158"/>
      <c r="G5" s="117" t="s">
        <v>758</v>
      </c>
      <c r="H5" s="12" t="s">
        <v>140</v>
      </c>
      <c r="I5" s="187">
        <v>20</v>
      </c>
      <c r="J5" s="188"/>
      <c r="K5" s="189"/>
      <c r="L5" s="120" t="s">
        <v>754</v>
      </c>
      <c r="M5" s="25">
        <v>0.8</v>
      </c>
      <c r="N5" s="159" t="s">
        <v>750</v>
      </c>
      <c r="O5" s="180">
        <v>0.27800000000000002</v>
      </c>
      <c r="P5" s="43" t="s">
        <v>278</v>
      </c>
      <c r="Q5" s="44">
        <v>-7.4108800000000002E-2</v>
      </c>
      <c r="R5" s="181" t="s">
        <v>748</v>
      </c>
      <c r="S5" s="183"/>
      <c r="T5" s="81"/>
    </row>
    <row r="6" spans="1:20" ht="132" customHeight="1" x14ac:dyDescent="0.4">
      <c r="A6" s="13" t="s">
        <v>771</v>
      </c>
      <c r="B6" s="10">
        <v>4.1840000000000002</v>
      </c>
      <c r="C6" s="120" t="s">
        <v>766</v>
      </c>
      <c r="D6" s="18" t="s">
        <v>143</v>
      </c>
      <c r="E6" s="158"/>
      <c r="F6" s="158"/>
      <c r="G6" s="174" t="s">
        <v>673</v>
      </c>
      <c r="H6" s="174"/>
      <c r="I6" s="174"/>
      <c r="J6" s="174"/>
      <c r="K6" s="174"/>
      <c r="L6" s="119" t="s">
        <v>755</v>
      </c>
      <c r="M6" s="25">
        <v>0.14000000000000001</v>
      </c>
      <c r="N6" s="158"/>
      <c r="O6" s="180"/>
      <c r="P6" s="43" t="s">
        <v>279</v>
      </c>
      <c r="Q6" s="44">
        <v>0.1497994</v>
      </c>
      <c r="R6" s="175"/>
      <c r="S6" s="176"/>
      <c r="T6" s="81"/>
    </row>
    <row r="7" spans="1:20" ht="51" customHeight="1" x14ac:dyDescent="0.4">
      <c r="A7" s="118" t="s">
        <v>773</v>
      </c>
      <c r="B7" s="117" t="s">
        <v>774</v>
      </c>
    </row>
    <row r="8" spans="1:20" ht="32.25" x14ac:dyDescent="0.4">
      <c r="A8" s="171" t="s">
        <v>759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</row>
    <row r="9" spans="1:20" ht="115.9" thickBot="1" x14ac:dyDescent="0.45">
      <c r="A9" s="14" t="s">
        <v>733</v>
      </c>
      <c r="B9" s="15" t="s">
        <v>734</v>
      </c>
      <c r="C9" s="15" t="s">
        <v>735</v>
      </c>
      <c r="D9" s="15" t="s">
        <v>736</v>
      </c>
      <c r="E9" s="15" t="s">
        <v>737</v>
      </c>
      <c r="F9" s="15" t="s">
        <v>738</v>
      </c>
      <c r="G9" s="16" t="s">
        <v>739</v>
      </c>
      <c r="H9" s="16" t="s">
        <v>740</v>
      </c>
      <c r="I9" s="16" t="s">
        <v>741</v>
      </c>
      <c r="J9" s="16" t="s">
        <v>1054</v>
      </c>
      <c r="K9" s="16" t="s">
        <v>743</v>
      </c>
      <c r="L9" s="16" t="s">
        <v>744</v>
      </c>
      <c r="M9" s="16" t="s">
        <v>745</v>
      </c>
      <c r="N9" s="16" t="s">
        <v>1055</v>
      </c>
      <c r="O9" s="16" t="s">
        <v>1056</v>
      </c>
      <c r="P9" s="16" t="s">
        <v>746</v>
      </c>
      <c r="Q9" s="16" t="s">
        <v>1057</v>
      </c>
    </row>
    <row r="10" spans="1:20" ht="20.100000000000001" customHeight="1" thickTop="1" x14ac:dyDescent="0.4">
      <c r="A10" s="173" t="s">
        <v>775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20" x14ac:dyDescent="0.4">
      <c r="A11" t="s">
        <v>141</v>
      </c>
      <c r="B11" s="7">
        <v>0.4</v>
      </c>
      <c r="C11" s="7">
        <v>3.4400000000000001E-4</v>
      </c>
      <c r="D11" s="7">
        <f>C11*$B$3</f>
        <v>0.35604000000000002</v>
      </c>
      <c r="E11" s="7">
        <f>D11*$B$4</f>
        <v>5.9351868000000002E-2</v>
      </c>
      <c r="F11" s="7">
        <f>E11*$B$5</f>
        <v>534.16681200000005</v>
      </c>
      <c r="G11" s="7">
        <f>F11*$B$6</f>
        <v>2234.9539414080004</v>
      </c>
      <c r="H11" s="7">
        <f>(28*POWER(D11,0.67))*POWER(EXP(1),(-0.62*POWER(86.17,-5)*($I$5+273.15)))</f>
        <v>14.017230198328111</v>
      </c>
      <c r="I11" s="7">
        <f>POWER(H11,0.08)*POWER(D11,0.336)*(1-POWER(EXP(1),(-19.5*D11)))</f>
        <v>0.87220188585311154</v>
      </c>
      <c r="J11" s="7">
        <f>$I$3*POWER(I11,$K$3)</f>
        <v>0.24203298448920352</v>
      </c>
      <c r="K11" s="24">
        <f>$M$3*$M$6*$M$5</f>
        <v>9.5200000000000007E-2</v>
      </c>
      <c r="L11" s="7">
        <f t="shared" ref="L11:L50" si="0">POWER(D11,0.67)*28*1000*4.184/3600</f>
        <v>16.291137053737312</v>
      </c>
      <c r="M11" s="33">
        <f t="shared" ref="M11:M50" si="1">O11*J11*24*3600/1000</f>
        <v>33.204101767150291</v>
      </c>
      <c r="N11" s="79">
        <f>M11*1.278</f>
        <v>42.43484205841807</v>
      </c>
      <c r="O11" s="7">
        <f t="shared" ref="O11:O50" si="2">G11/L11/3600/24*1000</f>
        <v>1.587827932738789</v>
      </c>
      <c r="P11" s="1">
        <f t="shared" ref="P11:P50" si="3">POWER(10,($Q$4+($Q$5*LOG10(1))+$Q$6*LOG10(D11*1000)))</f>
        <v>32.953920389723791</v>
      </c>
      <c r="Q11">
        <f>O11*1.278</f>
        <v>2.0292440980401723</v>
      </c>
    </row>
    <row r="12" spans="1:20" x14ac:dyDescent="0.4">
      <c r="A12" t="s">
        <v>147</v>
      </c>
      <c r="B12" s="7">
        <v>1.6</v>
      </c>
      <c r="C12" s="7">
        <v>1.0101000000000001E-2</v>
      </c>
      <c r="D12" s="7">
        <f t="shared" ref="D12:D49" si="4">C12*$B$3</f>
        <v>10.454535</v>
      </c>
      <c r="E12" s="7">
        <f t="shared" ref="E12:E68" si="5">D12*$B$4</f>
        <v>1.7427709844999999</v>
      </c>
      <c r="F12" s="7">
        <f t="shared" ref="F12:F68" si="6">E12*$B$5</f>
        <v>15684.938860499999</v>
      </c>
      <c r="G12" s="7">
        <f t="shared" ref="G12:G68" si="7">F12*$B$6</f>
        <v>65625.784192331994</v>
      </c>
      <c r="H12" s="7">
        <f t="shared" ref="H12:H68" si="8">(28*POWER(D12,0.67))*POWER(EXP(1),(-0.62*POWER(86.17,-5)*($I$5+273.15)))</f>
        <v>134.92492263976067</v>
      </c>
      <c r="I12" s="7">
        <f t="shared" ref="I12:I68" si="9">POWER(H12,0.08)*POWER(D12,0.336)*(1-POWER(EXP(1),(-19.5*D12)))</f>
        <v>3.2575700274404435</v>
      </c>
      <c r="J12" s="7">
        <f t="shared" ref="J12:J68" si="10">$I$3*POWER(I12,$K$3)</f>
        <v>0.47301783736543507</v>
      </c>
      <c r="K12" s="24">
        <f t="shared" ref="K12:K50" si="11">$M$3*$M$6*$M$5</f>
        <v>9.5200000000000007E-2</v>
      </c>
      <c r="L12" s="7">
        <f t="shared" si="0"/>
        <v>156.81274942259407</v>
      </c>
      <c r="M12" s="33">
        <f t="shared" si="1"/>
        <v>197.95690483311543</v>
      </c>
      <c r="N12" s="79">
        <f t="shared" ref="N12:N50" si="12">M12*1.278</f>
        <v>252.98892437672151</v>
      </c>
      <c r="O12" s="7">
        <f t="shared" si="2"/>
        <v>4.8437240607542744</v>
      </c>
      <c r="P12" s="1">
        <f t="shared" si="3"/>
        <v>54.674338293192598</v>
      </c>
      <c r="Q12">
        <f t="shared" ref="Q12:Q50" si="13">O12*1.278</f>
        <v>6.190279349643963</v>
      </c>
    </row>
    <row r="13" spans="1:20" x14ac:dyDescent="0.4">
      <c r="A13" t="s">
        <v>148</v>
      </c>
      <c r="B13" s="7">
        <v>1.5</v>
      </c>
      <c r="C13" s="7">
        <v>8.4469999999999996E-3</v>
      </c>
      <c r="D13" s="7">
        <f t="shared" si="4"/>
        <v>8.7426449999999996</v>
      </c>
      <c r="E13" s="7">
        <f t="shared" si="5"/>
        <v>1.4573989214999998</v>
      </c>
      <c r="F13" s="7">
        <f t="shared" si="6"/>
        <v>13116.590293499998</v>
      </c>
      <c r="G13" s="7">
        <f t="shared" si="7"/>
        <v>54879.813788003994</v>
      </c>
      <c r="H13" s="7">
        <f t="shared" si="8"/>
        <v>119.69023514246179</v>
      </c>
      <c r="I13" s="7">
        <f t="shared" si="9"/>
        <v>3.038342252712011</v>
      </c>
      <c r="J13" s="7">
        <f t="shared" si="10"/>
        <v>0.45655361592940846</v>
      </c>
      <c r="K13" s="24">
        <f t="shared" si="11"/>
        <v>9.5200000000000007E-2</v>
      </c>
      <c r="L13" s="7">
        <f t="shared" si="0"/>
        <v>139.10665638725558</v>
      </c>
      <c r="M13" s="33">
        <f t="shared" si="1"/>
        <v>180.11774617523855</v>
      </c>
      <c r="N13" s="79">
        <f t="shared" si="12"/>
        <v>230.19047961195488</v>
      </c>
      <c r="O13" s="7">
        <f t="shared" si="2"/>
        <v>4.5661584172182206</v>
      </c>
      <c r="P13" s="1">
        <f t="shared" si="3"/>
        <v>53.229187005874657</v>
      </c>
      <c r="Q13">
        <f t="shared" si="13"/>
        <v>5.835550457204886</v>
      </c>
    </row>
    <row r="14" spans="1:20" x14ac:dyDescent="0.4">
      <c r="A14" t="s">
        <v>732</v>
      </c>
      <c r="B14" s="7">
        <v>1</v>
      </c>
      <c r="C14" s="7">
        <v>4.5999999999999999E-3</v>
      </c>
      <c r="D14" s="7">
        <f t="shared" si="4"/>
        <v>4.7610000000000001</v>
      </c>
      <c r="E14" s="7">
        <f t="shared" si="5"/>
        <v>0.79365869999999994</v>
      </c>
      <c r="F14" s="7">
        <f t="shared" si="6"/>
        <v>7142.9282999999996</v>
      </c>
      <c r="G14" s="7">
        <f t="shared" si="7"/>
        <v>29886.012007199999</v>
      </c>
      <c r="H14" s="7">
        <f t="shared" si="8"/>
        <v>79.655505184485193</v>
      </c>
      <c r="I14" s="7">
        <f t="shared" si="9"/>
        <v>2.3977497406074528</v>
      </c>
      <c r="J14" s="7">
        <f t="shared" si="10"/>
        <v>0.40476340827847163</v>
      </c>
      <c r="K14" s="24">
        <f t="shared" si="11"/>
        <v>9.5200000000000007E-2</v>
      </c>
      <c r="L14" s="7">
        <f t="shared" si="0"/>
        <v>92.5774017893999</v>
      </c>
      <c r="M14" s="33">
        <f t="shared" si="1"/>
        <v>130.66648929513028</v>
      </c>
      <c r="N14" s="79">
        <f t="shared" si="12"/>
        <v>166.9917733191765</v>
      </c>
      <c r="O14" s="7">
        <f t="shared" si="2"/>
        <v>3.7363644913785623</v>
      </c>
      <c r="P14" s="1">
        <f t="shared" si="3"/>
        <v>48.597181369431134</v>
      </c>
      <c r="Q14">
        <f t="shared" si="13"/>
        <v>4.7750738199818024</v>
      </c>
    </row>
    <row r="15" spans="1:20" x14ac:dyDescent="0.4">
      <c r="A15" t="s">
        <v>149</v>
      </c>
      <c r="B15" s="7">
        <v>1.8</v>
      </c>
      <c r="C15" s="7">
        <v>2.6828000000000001E-2</v>
      </c>
      <c r="D15" s="7">
        <f t="shared" si="4"/>
        <v>27.76698</v>
      </c>
      <c r="E15" s="7">
        <f t="shared" si="5"/>
        <v>4.6287555659999997</v>
      </c>
      <c r="F15" s="7">
        <f t="shared" si="6"/>
        <v>41658.800093999998</v>
      </c>
      <c r="G15" s="7">
        <f t="shared" si="7"/>
        <v>174300.41959329601</v>
      </c>
      <c r="H15" s="7">
        <f t="shared" si="8"/>
        <v>259.61047304867236</v>
      </c>
      <c r="I15" s="7">
        <f t="shared" si="9"/>
        <v>4.7661905608400215</v>
      </c>
      <c r="J15" s="7">
        <f t="shared" si="10"/>
        <v>0.57401239224761935</v>
      </c>
      <c r="K15" s="24">
        <f t="shared" si="11"/>
        <v>9.5200000000000007E-2</v>
      </c>
      <c r="L15" s="7">
        <f t="shared" si="0"/>
        <v>301.72507244162603</v>
      </c>
      <c r="M15" s="33">
        <f t="shared" si="1"/>
        <v>331.59524997667603</v>
      </c>
      <c r="N15" s="79">
        <f t="shared" si="12"/>
        <v>423.77872947019199</v>
      </c>
      <c r="O15" s="7">
        <f t="shared" si="2"/>
        <v>6.6861064981773914</v>
      </c>
      <c r="P15" s="1">
        <f t="shared" si="3"/>
        <v>63.289552550024453</v>
      </c>
      <c r="Q15">
        <f t="shared" si="13"/>
        <v>8.5448441046707071</v>
      </c>
    </row>
    <row r="16" spans="1:20" x14ac:dyDescent="0.4">
      <c r="A16" t="s">
        <v>150</v>
      </c>
      <c r="B16" s="7">
        <v>1.3</v>
      </c>
      <c r="C16" s="7">
        <v>1.0108000000000001E-2</v>
      </c>
      <c r="D16" s="7">
        <f t="shared" si="4"/>
        <v>10.461780000000001</v>
      </c>
      <c r="E16" s="7">
        <f t="shared" si="5"/>
        <v>1.7439787259999999</v>
      </c>
      <c r="F16" s="7">
        <f t="shared" si="6"/>
        <v>15695.808534</v>
      </c>
      <c r="G16" s="7">
        <f t="shared" si="7"/>
        <v>65671.262906256001</v>
      </c>
      <c r="H16" s="7">
        <f t="shared" si="8"/>
        <v>134.98756253205403</v>
      </c>
      <c r="I16" s="7">
        <f t="shared" si="9"/>
        <v>3.2584493628199249</v>
      </c>
      <c r="J16" s="7">
        <f t="shared" si="10"/>
        <v>0.47308276069941269</v>
      </c>
      <c r="K16" s="24">
        <f t="shared" si="11"/>
        <v>9.5200000000000007E-2</v>
      </c>
      <c r="L16" s="7">
        <f t="shared" si="0"/>
        <v>156.8855509002002</v>
      </c>
      <c r="M16" s="33">
        <f t="shared" si="1"/>
        <v>198.02934161904949</v>
      </c>
      <c r="N16" s="79">
        <f t="shared" si="12"/>
        <v>253.08149858914524</v>
      </c>
      <c r="O16" s="7">
        <f t="shared" si="2"/>
        <v>4.8448315160553772</v>
      </c>
      <c r="P16" s="1">
        <f t="shared" si="3"/>
        <v>54.680012424389432</v>
      </c>
      <c r="Q16">
        <f t="shared" si="13"/>
        <v>6.1916946775187718</v>
      </c>
    </row>
    <row r="17" spans="1:17" x14ac:dyDescent="0.4">
      <c r="A17" s="21" t="s">
        <v>151</v>
      </c>
      <c r="B17" s="7">
        <v>2</v>
      </c>
      <c r="C17" s="7">
        <v>2.4497999999999999E-2</v>
      </c>
      <c r="D17" s="7">
        <f t="shared" si="4"/>
        <v>25.355429999999998</v>
      </c>
      <c r="E17" s="7">
        <f t="shared" si="5"/>
        <v>4.226750180999999</v>
      </c>
      <c r="F17" s="7">
        <f t="shared" si="6"/>
        <v>38040.751628999991</v>
      </c>
      <c r="G17" s="7">
        <f t="shared" si="7"/>
        <v>159162.50481573597</v>
      </c>
      <c r="H17" s="7">
        <f t="shared" si="8"/>
        <v>244.27868385066219</v>
      </c>
      <c r="I17" s="7">
        <f t="shared" si="9"/>
        <v>4.6004328404600869</v>
      </c>
      <c r="J17" s="7">
        <f t="shared" si="10"/>
        <v>0.56377295763707957</v>
      </c>
      <c r="K17" s="24">
        <f t="shared" si="11"/>
        <v>9.5200000000000007E-2</v>
      </c>
      <c r="L17" s="7">
        <f t="shared" si="0"/>
        <v>283.90612564758794</v>
      </c>
      <c r="M17" s="33">
        <f t="shared" si="1"/>
        <v>316.06051429928254</v>
      </c>
      <c r="N17" s="79">
        <f t="shared" si="12"/>
        <v>403.92533727448313</v>
      </c>
      <c r="O17" s="7">
        <f t="shared" si="2"/>
        <v>6.4886187867575886</v>
      </c>
      <c r="P17" s="1">
        <f t="shared" si="3"/>
        <v>62.434018735394318</v>
      </c>
      <c r="Q17">
        <f t="shared" si="13"/>
        <v>8.2924548094761992</v>
      </c>
    </row>
    <row r="18" spans="1:17" x14ac:dyDescent="0.4">
      <c r="A18" s="21" t="s">
        <v>152</v>
      </c>
      <c r="B18" s="7">
        <v>3.5</v>
      </c>
      <c r="C18" s="7">
        <v>0.13116800000000001</v>
      </c>
      <c r="D18" s="7">
        <f t="shared" si="4"/>
        <v>135.75888</v>
      </c>
      <c r="E18" s="7">
        <f t="shared" si="5"/>
        <v>22.631005295999998</v>
      </c>
      <c r="F18" s="7">
        <f t="shared" si="6"/>
        <v>203679.04766399998</v>
      </c>
      <c r="G18" s="7">
        <f t="shared" si="7"/>
        <v>852193.13542617601</v>
      </c>
      <c r="H18" s="7">
        <f t="shared" si="8"/>
        <v>751.81803543619151</v>
      </c>
      <c r="I18" s="7">
        <f t="shared" si="9"/>
        <v>8.8450267358101637</v>
      </c>
      <c r="J18" s="7">
        <f t="shared" si="10"/>
        <v>0.78608179930578115</v>
      </c>
      <c r="K18" s="24">
        <f t="shared" si="11"/>
        <v>9.5200000000000007E-2</v>
      </c>
      <c r="L18" s="7">
        <f t="shared" si="0"/>
        <v>873.77966127883053</v>
      </c>
      <c r="M18" s="33">
        <f t="shared" si="1"/>
        <v>766.66182899177704</v>
      </c>
      <c r="N18" s="79">
        <f t="shared" si="12"/>
        <v>979.79381745149112</v>
      </c>
      <c r="O18" s="7">
        <f t="shared" si="2"/>
        <v>11.288139232268675</v>
      </c>
      <c r="P18" s="1">
        <f t="shared" si="3"/>
        <v>80.27488713965279</v>
      </c>
      <c r="Q18">
        <f t="shared" si="13"/>
        <v>14.426241938839366</v>
      </c>
    </row>
    <row r="19" spans="1:17" x14ac:dyDescent="0.4">
      <c r="A19" t="s">
        <v>153</v>
      </c>
      <c r="B19" s="7">
        <v>1</v>
      </c>
      <c r="C19" s="7">
        <v>4.614E-3</v>
      </c>
      <c r="D19" s="7">
        <f t="shared" si="4"/>
        <v>4.7754900000000005</v>
      </c>
      <c r="E19" s="7">
        <f t="shared" si="5"/>
        <v>0.79607418299999999</v>
      </c>
      <c r="F19" s="7">
        <f t="shared" si="6"/>
        <v>7164.6676470000002</v>
      </c>
      <c r="G19" s="7">
        <f t="shared" si="7"/>
        <v>29976.969435048002</v>
      </c>
      <c r="H19" s="7">
        <f t="shared" si="8"/>
        <v>79.817851692179858</v>
      </c>
      <c r="I19" s="7">
        <f t="shared" si="9"/>
        <v>2.4005902097314817</v>
      </c>
      <c r="J19" s="7">
        <f t="shared" si="10"/>
        <v>0.40500716264389086</v>
      </c>
      <c r="K19" s="24">
        <f t="shared" si="11"/>
        <v>9.5200000000000007E-2</v>
      </c>
      <c r="L19" s="7">
        <f t="shared" si="0"/>
        <v>92.766084515561076</v>
      </c>
      <c r="M19" s="33">
        <f t="shared" si="1"/>
        <v>130.87635851995944</v>
      </c>
      <c r="N19" s="79">
        <f t="shared" si="12"/>
        <v>167.25998618850818</v>
      </c>
      <c r="O19" s="7">
        <f t="shared" si="2"/>
        <v>3.7401132813717046</v>
      </c>
      <c r="P19" s="1">
        <f t="shared" si="3"/>
        <v>48.619308758171577</v>
      </c>
      <c r="Q19">
        <f t="shared" si="13"/>
        <v>4.7798647735930384</v>
      </c>
    </row>
    <row r="20" spans="1:17" x14ac:dyDescent="0.4">
      <c r="A20" t="s">
        <v>154</v>
      </c>
      <c r="B20" s="7">
        <v>3</v>
      </c>
      <c r="C20" s="7">
        <v>0.12795899999999999</v>
      </c>
      <c r="D20" s="7">
        <f t="shared" si="4"/>
        <v>132.43756499999998</v>
      </c>
      <c r="E20" s="7">
        <f t="shared" si="5"/>
        <v>22.077342085499996</v>
      </c>
      <c r="F20" s="7">
        <f t="shared" si="6"/>
        <v>198696.07876949996</v>
      </c>
      <c r="G20" s="7">
        <f t="shared" si="7"/>
        <v>831344.39357158786</v>
      </c>
      <c r="H20" s="7">
        <f t="shared" si="8"/>
        <v>739.44437597148942</v>
      </c>
      <c r="I20" s="7">
        <f t="shared" si="9"/>
        <v>8.7600825698418667</v>
      </c>
      <c r="J20" s="7">
        <f t="shared" si="10"/>
        <v>0.7822339138183555</v>
      </c>
      <c r="K20" s="24">
        <f t="shared" si="11"/>
        <v>9.5200000000000007E-2</v>
      </c>
      <c r="L20" s="7">
        <f t="shared" si="0"/>
        <v>859.39871872858407</v>
      </c>
      <c r="M20" s="33">
        <f t="shared" si="1"/>
        <v>756.69856673341246</v>
      </c>
      <c r="N20" s="79">
        <f t="shared" si="12"/>
        <v>967.06076828530115</v>
      </c>
      <c r="O20" s="7">
        <f t="shared" si="2"/>
        <v>11.196248473000795</v>
      </c>
      <c r="P20" s="1">
        <f t="shared" si="3"/>
        <v>79.977588053331957</v>
      </c>
      <c r="Q20">
        <f t="shared" si="13"/>
        <v>14.308805548495016</v>
      </c>
    </row>
    <row r="21" spans="1:17" x14ac:dyDescent="0.4">
      <c r="A21" t="s">
        <v>155</v>
      </c>
      <c r="B21" s="7">
        <v>1.5</v>
      </c>
      <c r="C21" s="7">
        <v>1.6145E-2</v>
      </c>
      <c r="D21" s="7">
        <f t="shared" si="4"/>
        <v>16.710075</v>
      </c>
      <c r="E21" s="7">
        <f t="shared" si="5"/>
        <v>2.7855695024999996</v>
      </c>
      <c r="F21" s="7">
        <f t="shared" si="6"/>
        <v>25070.125522499995</v>
      </c>
      <c r="G21" s="7">
        <f t="shared" si="7"/>
        <v>104893.40518613998</v>
      </c>
      <c r="H21" s="7">
        <f t="shared" si="8"/>
        <v>184.73685343832705</v>
      </c>
      <c r="I21" s="7">
        <f t="shared" si="9"/>
        <v>3.9106146732747518</v>
      </c>
      <c r="J21" s="7">
        <f t="shared" si="10"/>
        <v>0.51907208024521156</v>
      </c>
      <c r="K21" s="24">
        <f t="shared" si="11"/>
        <v>9.5200000000000007E-2</v>
      </c>
      <c r="L21" s="7">
        <f t="shared" si="0"/>
        <v>214.7052845432282</v>
      </c>
      <c r="M21" s="33">
        <f t="shared" si="1"/>
        <v>253.5905818518001</v>
      </c>
      <c r="N21" s="79">
        <f t="shared" si="12"/>
        <v>324.08876360660054</v>
      </c>
      <c r="O21" s="7">
        <f t="shared" si="2"/>
        <v>5.6544674440084277</v>
      </c>
      <c r="P21" s="1">
        <f t="shared" si="3"/>
        <v>58.65347268520199</v>
      </c>
      <c r="Q21">
        <f t="shared" si="13"/>
        <v>7.2264093934427711</v>
      </c>
    </row>
    <row r="22" spans="1:17" x14ac:dyDescent="0.4">
      <c r="A22" t="s">
        <v>156</v>
      </c>
      <c r="B22" s="7">
        <v>1.5</v>
      </c>
      <c r="C22" s="7">
        <v>1.8831000000000001E-2</v>
      </c>
      <c r="D22" s="7">
        <f t="shared" si="4"/>
        <v>19.490085000000001</v>
      </c>
      <c r="E22" s="7">
        <f t="shared" si="5"/>
        <v>3.2489971694999999</v>
      </c>
      <c r="F22" s="7">
        <f t="shared" si="6"/>
        <v>29240.974525499998</v>
      </c>
      <c r="G22" s="7">
        <f t="shared" si="7"/>
        <v>122344.23741469199</v>
      </c>
      <c r="H22" s="7">
        <f t="shared" si="8"/>
        <v>204.80153904023769</v>
      </c>
      <c r="I22" s="7">
        <f t="shared" si="9"/>
        <v>4.1522555247707453</v>
      </c>
      <c r="J22" s="7">
        <f t="shared" si="10"/>
        <v>0.53514138171882897</v>
      </c>
      <c r="K22" s="24">
        <f t="shared" si="11"/>
        <v>9.5200000000000007E-2</v>
      </c>
      <c r="L22" s="7">
        <f t="shared" si="0"/>
        <v>238.02490892378978</v>
      </c>
      <c r="M22" s="33">
        <f t="shared" si="1"/>
        <v>275.0613982018042</v>
      </c>
      <c r="N22" s="79">
        <f t="shared" si="12"/>
        <v>351.52846690190574</v>
      </c>
      <c r="O22" s="7">
        <f t="shared" si="2"/>
        <v>5.949046563135659</v>
      </c>
      <c r="P22" s="1">
        <f t="shared" si="3"/>
        <v>60.021331202968831</v>
      </c>
      <c r="Q22">
        <f t="shared" si="13"/>
        <v>7.6028815076873721</v>
      </c>
    </row>
    <row r="23" spans="1:17" x14ac:dyDescent="0.4">
      <c r="A23" t="s">
        <v>157</v>
      </c>
      <c r="B23" s="7">
        <v>0.5</v>
      </c>
      <c r="C23" s="7">
        <v>7.0100000000000002E-4</v>
      </c>
      <c r="D23" s="7">
        <f t="shared" si="4"/>
        <v>0.72553500000000004</v>
      </c>
      <c r="E23" s="7">
        <f t="shared" si="5"/>
        <v>0.1209466845</v>
      </c>
      <c r="F23" s="7">
        <f t="shared" si="6"/>
        <v>1088.5201605</v>
      </c>
      <c r="G23" s="7">
        <f t="shared" si="7"/>
        <v>4554.3683515319999</v>
      </c>
      <c r="H23" s="7">
        <f t="shared" si="8"/>
        <v>22.583909308792009</v>
      </c>
      <c r="I23" s="7">
        <f t="shared" si="9"/>
        <v>1.1520858159540808</v>
      </c>
      <c r="J23" s="7">
        <f t="shared" si="10"/>
        <v>0.27882768142973996</v>
      </c>
      <c r="K23" s="24">
        <f t="shared" si="11"/>
        <v>9.5200000000000007E-2</v>
      </c>
      <c r="L23" s="7">
        <f t="shared" si="0"/>
        <v>26.247522267458191</v>
      </c>
      <c r="M23" s="33">
        <f t="shared" si="1"/>
        <v>48.381098790763303</v>
      </c>
      <c r="N23" s="79">
        <f t="shared" si="12"/>
        <v>61.831044254595504</v>
      </c>
      <c r="O23" s="7">
        <f t="shared" si="2"/>
        <v>2.0082884823990925</v>
      </c>
      <c r="P23" s="1">
        <f t="shared" si="3"/>
        <v>36.662240929471523</v>
      </c>
      <c r="Q23">
        <f t="shared" si="13"/>
        <v>2.5665926805060404</v>
      </c>
    </row>
    <row r="24" spans="1:17" x14ac:dyDescent="0.4">
      <c r="A24" t="s">
        <v>158</v>
      </c>
      <c r="B24" s="7">
        <v>2.2999999999999998</v>
      </c>
      <c r="C24" s="7">
        <v>6.8251000000000006E-2</v>
      </c>
      <c r="D24" s="7">
        <f t="shared" si="4"/>
        <v>70.639785000000003</v>
      </c>
      <c r="E24" s="7">
        <f t="shared" si="5"/>
        <v>11.7756521595</v>
      </c>
      <c r="F24" s="7">
        <f t="shared" si="6"/>
        <v>105980.8694355</v>
      </c>
      <c r="G24" s="7">
        <f t="shared" si="7"/>
        <v>443423.95771813206</v>
      </c>
      <c r="H24" s="7">
        <f t="shared" si="8"/>
        <v>485.31206908062734</v>
      </c>
      <c r="I24" s="7">
        <f t="shared" si="9"/>
        <v>6.857444087380995</v>
      </c>
      <c r="J24" s="7">
        <f t="shared" si="10"/>
        <v>0.69065266771742539</v>
      </c>
      <c r="K24" s="24">
        <f t="shared" si="11"/>
        <v>9.5200000000000007E-2</v>
      </c>
      <c r="L24" s="7">
        <f t="shared" si="0"/>
        <v>564.04049297616177</v>
      </c>
      <c r="M24" s="33">
        <f t="shared" si="1"/>
        <v>542.96090997280589</v>
      </c>
      <c r="N24" s="79">
        <f t="shared" si="12"/>
        <v>693.90404294524592</v>
      </c>
      <c r="O24" s="7">
        <f t="shared" si="2"/>
        <v>9.0990306489673536</v>
      </c>
      <c r="P24" s="1">
        <f t="shared" si="3"/>
        <v>72.791184413161332</v>
      </c>
      <c r="Q24">
        <f t="shared" si="13"/>
        <v>11.628561169380278</v>
      </c>
    </row>
    <row r="25" spans="1:17" x14ac:dyDescent="0.4">
      <c r="A25" s="21" t="s">
        <v>159</v>
      </c>
      <c r="B25" s="7">
        <v>1</v>
      </c>
      <c r="C25" s="7">
        <v>6.3940000000000004E-3</v>
      </c>
      <c r="D25" s="7">
        <f t="shared" si="4"/>
        <v>6.6177900000000003</v>
      </c>
      <c r="E25" s="7">
        <f t="shared" si="5"/>
        <v>1.1031855929999999</v>
      </c>
      <c r="F25" s="7">
        <f t="shared" si="6"/>
        <v>9928.6703369999996</v>
      </c>
      <c r="G25" s="7">
        <f t="shared" si="7"/>
        <v>41541.556690008001</v>
      </c>
      <c r="H25" s="7">
        <f t="shared" si="8"/>
        <v>99.319771674203565</v>
      </c>
      <c r="I25" s="7">
        <f t="shared" si="9"/>
        <v>2.7259784539356744</v>
      </c>
      <c r="J25" s="7">
        <f t="shared" si="10"/>
        <v>0.43205014824749199</v>
      </c>
      <c r="K25" s="24">
        <f t="shared" si="11"/>
        <v>9.5200000000000007E-2</v>
      </c>
      <c r="L25" s="7">
        <f t="shared" si="0"/>
        <v>115.43165016176562</v>
      </c>
      <c r="M25" s="33">
        <f t="shared" si="1"/>
        <v>155.48626136070325</v>
      </c>
      <c r="N25" s="79">
        <f t="shared" si="12"/>
        <v>198.71144201897877</v>
      </c>
      <c r="O25" s="7">
        <f t="shared" si="2"/>
        <v>4.1652792246208135</v>
      </c>
      <c r="P25" s="1">
        <f t="shared" si="3"/>
        <v>51.054568762855382</v>
      </c>
      <c r="Q25">
        <f t="shared" si="13"/>
        <v>5.3232268490653993</v>
      </c>
    </row>
    <row r="26" spans="1:17" x14ac:dyDescent="0.4">
      <c r="A26" s="21" t="s">
        <v>731</v>
      </c>
      <c r="B26" s="7">
        <v>1.5</v>
      </c>
      <c r="C26" s="7">
        <v>1.3367E-2</v>
      </c>
      <c r="D26" s="7">
        <f t="shared" si="4"/>
        <v>13.834845</v>
      </c>
      <c r="E26" s="7">
        <f t="shared" si="5"/>
        <v>2.3062686614999999</v>
      </c>
      <c r="F26" s="7">
        <f t="shared" si="6"/>
        <v>20756.4179535</v>
      </c>
      <c r="G26" s="7">
        <f t="shared" si="7"/>
        <v>86844.85271744401</v>
      </c>
      <c r="H26" s="7">
        <f t="shared" si="8"/>
        <v>162.78365453726087</v>
      </c>
      <c r="I26" s="7">
        <f t="shared" si="9"/>
        <v>3.6332579090528694</v>
      </c>
      <c r="J26" s="7">
        <f t="shared" si="10"/>
        <v>0.50001345682225551</v>
      </c>
      <c r="K26" s="24">
        <f t="shared" si="11"/>
        <v>9.5200000000000007E-2</v>
      </c>
      <c r="L26" s="7">
        <f t="shared" si="0"/>
        <v>189.1907879554586</v>
      </c>
      <c r="M26" s="33">
        <f t="shared" si="1"/>
        <v>229.52277689488818</v>
      </c>
      <c r="N26" s="79">
        <f t="shared" si="12"/>
        <v>293.33010887166711</v>
      </c>
      <c r="O26" s="7">
        <f t="shared" si="2"/>
        <v>5.3128842538590906</v>
      </c>
      <c r="P26" s="1">
        <f t="shared" si="3"/>
        <v>57.017683015138878</v>
      </c>
      <c r="Q26">
        <f t="shared" si="13"/>
        <v>6.7898660764319176</v>
      </c>
    </row>
    <row r="27" spans="1:17" x14ac:dyDescent="0.4">
      <c r="A27" s="21" t="s">
        <v>169</v>
      </c>
      <c r="B27" s="7">
        <v>1</v>
      </c>
      <c r="C27" s="7">
        <v>7.6649999999999999E-3</v>
      </c>
      <c r="D27" s="7">
        <f t="shared" si="4"/>
        <v>7.9332750000000001</v>
      </c>
      <c r="E27" s="7">
        <f t="shared" si="5"/>
        <v>1.3224769424999998</v>
      </c>
      <c r="F27" s="7">
        <f t="shared" si="6"/>
        <v>11902.292482499999</v>
      </c>
      <c r="G27" s="7">
        <f t="shared" si="7"/>
        <v>49799.191746780001</v>
      </c>
      <c r="H27" s="7">
        <f t="shared" si="8"/>
        <v>112.14791292030073</v>
      </c>
      <c r="I27" s="7">
        <f t="shared" si="9"/>
        <v>2.925494855096733</v>
      </c>
      <c r="J27" s="7">
        <f t="shared" si="10"/>
        <v>0.4478508317202976</v>
      </c>
      <c r="K27" s="24">
        <f t="shared" si="11"/>
        <v>9.5200000000000007E-2</v>
      </c>
      <c r="L27" s="7">
        <f t="shared" si="0"/>
        <v>130.34080155815175</v>
      </c>
      <c r="M27" s="33">
        <f t="shared" si="1"/>
        <v>171.10996078111168</v>
      </c>
      <c r="N27" s="79">
        <f t="shared" si="12"/>
        <v>218.67852987826075</v>
      </c>
      <c r="O27" s="7">
        <f t="shared" si="2"/>
        <v>4.4220959762097021</v>
      </c>
      <c r="P27" s="1">
        <f t="shared" si="3"/>
        <v>52.460176349292773</v>
      </c>
      <c r="Q27">
        <f t="shared" si="13"/>
        <v>5.6514386575959996</v>
      </c>
    </row>
    <row r="28" spans="1:17" x14ac:dyDescent="0.4">
      <c r="A28" s="21" t="s">
        <v>160</v>
      </c>
      <c r="B28" s="7">
        <v>1.5</v>
      </c>
      <c r="C28" s="7">
        <v>2.5354000000000002E-2</v>
      </c>
      <c r="D28" s="7">
        <f t="shared" si="4"/>
        <v>26.241390000000003</v>
      </c>
      <c r="E28" s="7">
        <f t="shared" si="5"/>
        <v>4.3744397130000001</v>
      </c>
      <c r="F28" s="7">
        <f t="shared" si="6"/>
        <v>39369.957416999998</v>
      </c>
      <c r="G28" s="7">
        <f t="shared" si="7"/>
        <v>164723.90183272801</v>
      </c>
      <c r="H28" s="7">
        <f t="shared" si="8"/>
        <v>249.96499511679033</v>
      </c>
      <c r="I28" s="7">
        <f t="shared" si="9"/>
        <v>4.6624041043213458</v>
      </c>
      <c r="J28" s="7">
        <f t="shared" si="10"/>
        <v>0.56762203559175994</v>
      </c>
      <c r="K28" s="24">
        <f t="shared" si="11"/>
        <v>9.5200000000000007E-2</v>
      </c>
      <c r="L28" s="7">
        <f t="shared" si="0"/>
        <v>290.51488321638021</v>
      </c>
      <c r="M28" s="33">
        <f t="shared" si="1"/>
        <v>321.8455296807266</v>
      </c>
      <c r="N28" s="79">
        <f t="shared" si="12"/>
        <v>411.31858693196858</v>
      </c>
      <c r="O28" s="7">
        <f t="shared" si="2"/>
        <v>6.5625782076110992</v>
      </c>
      <c r="P28" s="1">
        <f t="shared" si="3"/>
        <v>62.756061019207742</v>
      </c>
      <c r="Q28">
        <f t="shared" si="13"/>
        <v>8.3869749493269854</v>
      </c>
    </row>
    <row r="29" spans="1:17" x14ac:dyDescent="0.4">
      <c r="A29" s="22" t="s">
        <v>161</v>
      </c>
      <c r="B29" s="7">
        <v>5.5</v>
      </c>
      <c r="C29" s="7">
        <v>0.50142699999999996</v>
      </c>
      <c r="D29" s="7">
        <f t="shared" si="4"/>
        <v>518.976945</v>
      </c>
      <c r="E29" s="7">
        <f t="shared" si="5"/>
        <v>86.5134567315</v>
      </c>
      <c r="F29" s="7">
        <f t="shared" si="6"/>
        <v>778621.11058350001</v>
      </c>
      <c r="G29" s="7">
        <f t="shared" si="7"/>
        <v>3257750.7266813642</v>
      </c>
      <c r="H29" s="7">
        <f t="shared" si="8"/>
        <v>1846.3210384511251</v>
      </c>
      <c r="I29" s="7">
        <f t="shared" si="9"/>
        <v>14.914006477617706</v>
      </c>
      <c r="J29" s="7">
        <f t="shared" si="10"/>
        <v>1.0252836547575177</v>
      </c>
      <c r="K29" s="24">
        <f t="shared" si="11"/>
        <v>9.5200000000000007E-2</v>
      </c>
      <c r="L29" s="7">
        <f t="shared" si="0"/>
        <v>2145.8354223356819</v>
      </c>
      <c r="M29" s="33">
        <f t="shared" si="1"/>
        <v>1556.5585955819495</v>
      </c>
      <c r="N29" s="79">
        <f t="shared" si="12"/>
        <v>1989.2818851537315</v>
      </c>
      <c r="O29" s="7">
        <f t="shared" si="2"/>
        <v>17.571453911613329</v>
      </c>
      <c r="P29" s="1">
        <f t="shared" si="3"/>
        <v>98.134079035410025</v>
      </c>
      <c r="Q29">
        <f t="shared" si="13"/>
        <v>22.456318099041834</v>
      </c>
    </row>
    <row r="30" spans="1:17" x14ac:dyDescent="0.4">
      <c r="A30" s="22" t="s">
        <v>162</v>
      </c>
      <c r="B30" s="7">
        <v>7.6</v>
      </c>
      <c r="C30" s="7">
        <v>1.3194060000000001</v>
      </c>
      <c r="D30" s="7">
        <f t="shared" si="4"/>
        <v>1365.5852100000002</v>
      </c>
      <c r="E30" s="7">
        <f t="shared" si="5"/>
        <v>227.64305450700002</v>
      </c>
      <c r="F30" s="7">
        <f t="shared" si="6"/>
        <v>2048787.4905630001</v>
      </c>
      <c r="G30" s="7">
        <f t="shared" si="7"/>
        <v>8572126.8605155926</v>
      </c>
      <c r="H30" s="7">
        <f t="shared" si="8"/>
        <v>3530.3812975626479</v>
      </c>
      <c r="I30" s="7">
        <f t="shared" si="9"/>
        <v>21.741667385428965</v>
      </c>
      <c r="J30" s="7">
        <f t="shared" si="10"/>
        <v>1.2418947753003249</v>
      </c>
      <c r="K30" s="24">
        <f t="shared" si="11"/>
        <v>9.5200000000000007E-2</v>
      </c>
      <c r="L30" s="7">
        <f t="shared" si="0"/>
        <v>4103.0877539133207</v>
      </c>
      <c r="M30" s="33">
        <f t="shared" si="1"/>
        <v>2594.5532242474151</v>
      </c>
      <c r="N30" s="79">
        <f t="shared" si="12"/>
        <v>3315.8390205881965</v>
      </c>
      <c r="O30" s="7">
        <f t="shared" si="2"/>
        <v>24.180431228004256</v>
      </c>
      <c r="P30" s="1">
        <f t="shared" si="3"/>
        <v>113.43868298027452</v>
      </c>
      <c r="Q30">
        <f t="shared" si="13"/>
        <v>30.902591109389441</v>
      </c>
    </row>
    <row r="31" spans="1:17" x14ac:dyDescent="0.4">
      <c r="A31" s="22" t="s">
        <v>163</v>
      </c>
      <c r="B31" s="7">
        <v>4.3</v>
      </c>
      <c r="C31" s="7">
        <v>0.23961099999999999</v>
      </c>
      <c r="D31" s="7">
        <f t="shared" si="4"/>
        <v>247.99738499999998</v>
      </c>
      <c r="E31" s="7">
        <f t="shared" si="5"/>
        <v>41.341164079499997</v>
      </c>
      <c r="F31" s="7">
        <f t="shared" si="6"/>
        <v>372070.47671549994</v>
      </c>
      <c r="G31" s="7">
        <f t="shared" si="7"/>
        <v>1556742.8745776517</v>
      </c>
      <c r="H31" s="7">
        <f t="shared" si="8"/>
        <v>1125.7386388903153</v>
      </c>
      <c r="I31" s="7">
        <f t="shared" si="9"/>
        <v>11.185341082995341</v>
      </c>
      <c r="J31" s="7">
        <f t="shared" si="10"/>
        <v>0.88574640907880209</v>
      </c>
      <c r="K31" s="24">
        <f t="shared" si="11"/>
        <v>9.5200000000000007E-2</v>
      </c>
      <c r="L31" s="7">
        <f t="shared" si="0"/>
        <v>1308.3585125852649</v>
      </c>
      <c r="M31" s="33">
        <f t="shared" si="1"/>
        <v>1053.9002863149149</v>
      </c>
      <c r="N31" s="79">
        <f t="shared" si="12"/>
        <v>1346.8845659104613</v>
      </c>
      <c r="O31" s="7">
        <f t="shared" si="2"/>
        <v>13.771345675770604</v>
      </c>
      <c r="P31" s="1">
        <f t="shared" si="3"/>
        <v>87.857540044400182</v>
      </c>
      <c r="Q31">
        <f t="shared" si="13"/>
        <v>17.599779773634832</v>
      </c>
    </row>
    <row r="32" spans="1:17" x14ac:dyDescent="0.4">
      <c r="A32" s="22" t="s">
        <v>164</v>
      </c>
      <c r="B32" s="7">
        <v>18</v>
      </c>
      <c r="C32" s="7">
        <v>17.629857999999999</v>
      </c>
      <c r="D32" s="7">
        <f t="shared" si="4"/>
        <v>18246.903029999998</v>
      </c>
      <c r="E32" s="7">
        <f t="shared" si="5"/>
        <v>3041.7587351009993</v>
      </c>
      <c r="F32" s="7">
        <f t="shared" si="6"/>
        <v>27375828.615908995</v>
      </c>
      <c r="G32" s="7">
        <f t="shared" si="7"/>
        <v>114540466.92896324</v>
      </c>
      <c r="H32" s="7">
        <f t="shared" si="8"/>
        <v>20051.864197164308</v>
      </c>
      <c r="I32" s="7">
        <f t="shared" si="9"/>
        <v>59.694172947654891</v>
      </c>
      <c r="J32" s="7">
        <f t="shared" si="10"/>
        <v>2.0755488648563656</v>
      </c>
      <c r="K32" s="24">
        <f t="shared" si="11"/>
        <v>9.5200000000000007E-2</v>
      </c>
      <c r="L32" s="7">
        <f t="shared" si="0"/>
        <v>23304.723058475192</v>
      </c>
      <c r="M32" s="33">
        <f t="shared" si="1"/>
        <v>10201.122558633937</v>
      </c>
      <c r="N32" s="79">
        <f t="shared" si="12"/>
        <v>13037.034629934171</v>
      </c>
      <c r="O32" s="7">
        <f t="shared" si="2"/>
        <v>56.885458170365908</v>
      </c>
      <c r="P32" s="1">
        <f t="shared" si="3"/>
        <v>167.2691615845508</v>
      </c>
      <c r="Q32">
        <f t="shared" si="13"/>
        <v>72.699615541727638</v>
      </c>
    </row>
    <row r="33" spans="1:17" x14ac:dyDescent="0.4">
      <c r="A33" s="22" t="s">
        <v>490</v>
      </c>
      <c r="B33" s="7">
        <v>8.6</v>
      </c>
      <c r="C33" s="7">
        <v>1.9174370000000001</v>
      </c>
      <c r="D33" s="7">
        <f t="shared" si="4"/>
        <v>1984.5472950000001</v>
      </c>
      <c r="E33" s="7">
        <f t="shared" si="5"/>
        <v>330.82403407649997</v>
      </c>
      <c r="F33" s="7">
        <f t="shared" si="6"/>
        <v>2977416.3066884996</v>
      </c>
      <c r="G33" s="7">
        <f t="shared" si="7"/>
        <v>12457509.827184683</v>
      </c>
      <c r="H33" s="7">
        <f t="shared" si="8"/>
        <v>4535.1451184341831</v>
      </c>
      <c r="I33" s="7">
        <f t="shared" si="9"/>
        <v>25.15020581285437</v>
      </c>
      <c r="J33" s="7">
        <f t="shared" si="10"/>
        <v>1.3373552546745984</v>
      </c>
      <c r="K33" s="24">
        <f t="shared" si="11"/>
        <v>9.5200000000000007E-2</v>
      </c>
      <c r="L33" s="7">
        <f t="shared" si="0"/>
        <v>5270.8466392890714</v>
      </c>
      <c r="M33" s="33">
        <f t="shared" si="1"/>
        <v>3160.8045856164376</v>
      </c>
      <c r="N33" s="79">
        <f t="shared" si="12"/>
        <v>4039.5082604178074</v>
      </c>
      <c r="O33" s="7">
        <f t="shared" si="2"/>
        <v>27.35502498660988</v>
      </c>
      <c r="P33" s="1">
        <f t="shared" si="3"/>
        <v>119.97202990778794</v>
      </c>
      <c r="Q33">
        <f t="shared" si="13"/>
        <v>34.959721932887426</v>
      </c>
    </row>
    <row r="34" spans="1:17" x14ac:dyDescent="0.4">
      <c r="A34" s="22" t="s">
        <v>170</v>
      </c>
      <c r="B34" s="7">
        <v>15</v>
      </c>
      <c r="C34" s="7">
        <v>10.096207</v>
      </c>
      <c r="D34" s="7">
        <f t="shared" si="4"/>
        <v>10449.574245</v>
      </c>
      <c r="E34" s="7">
        <f t="shared" si="5"/>
        <v>1741.9440266414999</v>
      </c>
      <c r="F34" s="7">
        <f t="shared" si="6"/>
        <v>15677496.239773499</v>
      </c>
      <c r="G34" s="7">
        <f t="shared" si="7"/>
        <v>65594644.267212324</v>
      </c>
      <c r="H34" s="7">
        <f t="shared" si="8"/>
        <v>13802.38298907806</v>
      </c>
      <c r="I34" s="7">
        <f t="shared" si="9"/>
        <v>48.041156556479152</v>
      </c>
      <c r="J34" s="7">
        <f t="shared" si="10"/>
        <v>1.8585402591541078</v>
      </c>
      <c r="K34" s="24">
        <f t="shared" si="11"/>
        <v>9.5200000000000007E-2</v>
      </c>
      <c r="L34" s="7">
        <f t="shared" si="0"/>
        <v>16041.436843211908</v>
      </c>
      <c r="M34" s="33">
        <f t="shared" si="1"/>
        <v>7599.7111946423829</v>
      </c>
      <c r="N34" s="79">
        <f t="shared" si="12"/>
        <v>9712.4309067529648</v>
      </c>
      <c r="O34" s="7">
        <f t="shared" si="2"/>
        <v>47.32726120681113</v>
      </c>
      <c r="P34" s="1">
        <f t="shared" si="3"/>
        <v>153.8689032502792</v>
      </c>
      <c r="Q34">
        <f t="shared" si="13"/>
        <v>60.484239822304623</v>
      </c>
    </row>
    <row r="35" spans="1:17" x14ac:dyDescent="0.4">
      <c r="A35" s="21" t="s">
        <v>171</v>
      </c>
      <c r="B35" s="7">
        <v>5</v>
      </c>
      <c r="C35" s="7">
        <v>0.62064299999999994</v>
      </c>
      <c r="D35" s="7">
        <f t="shared" si="4"/>
        <v>642.36550499999998</v>
      </c>
      <c r="E35" s="7">
        <f t="shared" si="5"/>
        <v>107.08232968349999</v>
      </c>
      <c r="F35" s="7">
        <f t="shared" si="6"/>
        <v>963740.96715149994</v>
      </c>
      <c r="G35" s="7">
        <f t="shared" si="7"/>
        <v>4032292.206561876</v>
      </c>
      <c r="H35" s="7">
        <f t="shared" si="8"/>
        <v>2129.9631815092912</v>
      </c>
      <c r="I35" s="7">
        <f t="shared" si="9"/>
        <v>16.206326744372998</v>
      </c>
      <c r="J35" s="7">
        <f t="shared" si="10"/>
        <v>1.0695373313698007</v>
      </c>
      <c r="K35" s="24">
        <f t="shared" si="11"/>
        <v>9.5200000000000007E-2</v>
      </c>
      <c r="L35" s="7">
        <f t="shared" si="0"/>
        <v>2475.4906367679519</v>
      </c>
      <c r="M35" s="33">
        <f t="shared" si="1"/>
        <v>1742.1544569201687</v>
      </c>
      <c r="N35" s="79">
        <f t="shared" si="12"/>
        <v>2226.4733959439759</v>
      </c>
      <c r="O35" s="7">
        <f t="shared" si="2"/>
        <v>18.852847994606865</v>
      </c>
      <c r="P35" s="1">
        <f t="shared" si="3"/>
        <v>101.32028216610331</v>
      </c>
      <c r="Q35">
        <f t="shared" si="13"/>
        <v>24.093939737107576</v>
      </c>
    </row>
    <row r="36" spans="1:17" x14ac:dyDescent="0.4">
      <c r="A36" s="21" t="s">
        <v>172</v>
      </c>
      <c r="B36" s="7">
        <v>9.25</v>
      </c>
      <c r="C36" s="7">
        <v>3.8033610000000002</v>
      </c>
      <c r="D36" s="7">
        <f t="shared" si="4"/>
        <v>3936.4786350000004</v>
      </c>
      <c r="E36" s="7">
        <f t="shared" si="5"/>
        <v>656.21098845450001</v>
      </c>
      <c r="F36" s="7">
        <f t="shared" si="6"/>
        <v>5905898.8960905001</v>
      </c>
      <c r="G36" s="7">
        <f t="shared" si="7"/>
        <v>24710280.981242653</v>
      </c>
      <c r="H36" s="7">
        <f t="shared" si="8"/>
        <v>7175.9649178000845</v>
      </c>
      <c r="I36" s="7">
        <f t="shared" si="9"/>
        <v>32.841779317926218</v>
      </c>
      <c r="J36" s="7">
        <f t="shared" si="10"/>
        <v>1.5317025250701772</v>
      </c>
      <c r="K36" s="24">
        <f t="shared" si="11"/>
        <v>9.5200000000000007E-2</v>
      </c>
      <c r="L36" s="7">
        <f t="shared" si="0"/>
        <v>8340.0662124130376</v>
      </c>
      <c r="M36" s="33">
        <f t="shared" si="1"/>
        <v>4538.189363272706</v>
      </c>
      <c r="N36" s="79">
        <f t="shared" si="12"/>
        <v>5799.8060062625182</v>
      </c>
      <c r="O36" s="7">
        <f t="shared" si="2"/>
        <v>34.292128525600518</v>
      </c>
      <c r="P36" s="1">
        <f t="shared" si="3"/>
        <v>132.93437748408428</v>
      </c>
      <c r="Q36">
        <f t="shared" si="13"/>
        <v>43.825340255717464</v>
      </c>
    </row>
    <row r="37" spans="1:17" x14ac:dyDescent="0.4">
      <c r="A37" s="21" t="s">
        <v>173</v>
      </c>
      <c r="B37" s="7">
        <v>7</v>
      </c>
      <c r="C37" s="7">
        <v>1.700442</v>
      </c>
      <c r="D37" s="7">
        <f t="shared" si="4"/>
        <v>1759.9574700000001</v>
      </c>
      <c r="E37" s="7">
        <f t="shared" si="5"/>
        <v>293.38491024899997</v>
      </c>
      <c r="F37" s="7">
        <f t="shared" si="6"/>
        <v>2640464.1922409995</v>
      </c>
      <c r="G37" s="7">
        <f t="shared" si="7"/>
        <v>11047702.180336343</v>
      </c>
      <c r="H37" s="7">
        <f t="shared" si="8"/>
        <v>4184.50865704634</v>
      </c>
      <c r="I37" s="7">
        <f t="shared" si="9"/>
        <v>24.000499910655609</v>
      </c>
      <c r="J37" s="7">
        <f t="shared" si="10"/>
        <v>1.3059105230832038</v>
      </c>
      <c r="K37" s="24">
        <f t="shared" si="11"/>
        <v>9.5200000000000007E-2</v>
      </c>
      <c r="L37" s="7">
        <f t="shared" si="0"/>
        <v>4863.3291363527105</v>
      </c>
      <c r="M37" s="33">
        <f t="shared" si="1"/>
        <v>2966.5503050879979</v>
      </c>
      <c r="N37" s="79">
        <f t="shared" si="12"/>
        <v>3791.2512899024614</v>
      </c>
      <c r="O37" s="7">
        <f t="shared" si="2"/>
        <v>26.292056284600392</v>
      </c>
      <c r="P37" s="1">
        <f t="shared" si="3"/>
        <v>117.83290323829273</v>
      </c>
      <c r="Q37">
        <f t="shared" si="13"/>
        <v>33.6012479317193</v>
      </c>
    </row>
    <row r="38" spans="1:17" x14ac:dyDescent="0.4">
      <c r="A38" s="21" t="s">
        <v>510</v>
      </c>
      <c r="B38" s="7">
        <v>21</v>
      </c>
      <c r="C38" s="7">
        <v>45.864261999999997</v>
      </c>
      <c r="D38" s="7">
        <f t="shared" si="4"/>
        <v>47469.511169999998</v>
      </c>
      <c r="E38" s="7">
        <f t="shared" si="5"/>
        <v>7913.1675120389991</v>
      </c>
      <c r="F38" s="7">
        <f t="shared" si="6"/>
        <v>71218507.608350992</v>
      </c>
      <c r="G38" s="7">
        <f t="shared" si="7"/>
        <v>297978235.83334059</v>
      </c>
      <c r="H38" s="7">
        <f t="shared" si="8"/>
        <v>38050.108857240048</v>
      </c>
      <c r="I38" s="7">
        <f t="shared" si="9"/>
        <v>86.637084984656823</v>
      </c>
      <c r="J38" s="7">
        <f t="shared" si="10"/>
        <v>2.5083840897470537</v>
      </c>
      <c r="K38" s="24">
        <f t="shared" si="11"/>
        <v>9.5200000000000007E-2</v>
      </c>
      <c r="L38" s="7">
        <f t="shared" si="0"/>
        <v>44222.683763648041</v>
      </c>
      <c r="M38" s="33">
        <f t="shared" si="1"/>
        <v>16901.820564532569</v>
      </c>
      <c r="N38" s="79">
        <f t="shared" si="12"/>
        <v>21600.526681472624</v>
      </c>
      <c r="O38" s="7">
        <f t="shared" si="2"/>
        <v>77.987627174088445</v>
      </c>
      <c r="P38" s="1">
        <f t="shared" si="3"/>
        <v>193.02627292509626</v>
      </c>
      <c r="Q38">
        <f t="shared" si="13"/>
        <v>99.668187528485035</v>
      </c>
    </row>
    <row r="39" spans="1:17" x14ac:dyDescent="0.4">
      <c r="A39" s="22" t="s">
        <v>174</v>
      </c>
      <c r="B39" s="7">
        <v>8</v>
      </c>
      <c r="C39" s="7">
        <v>2.7468819999999998</v>
      </c>
      <c r="D39" s="7">
        <f t="shared" si="4"/>
        <v>2843.0228699999998</v>
      </c>
      <c r="E39" s="7">
        <f t="shared" si="5"/>
        <v>473.93191242899991</v>
      </c>
      <c r="F39" s="7">
        <f t="shared" si="6"/>
        <v>4265387.2118609995</v>
      </c>
      <c r="G39" s="7">
        <f t="shared" si="7"/>
        <v>17846380.094426423</v>
      </c>
      <c r="H39" s="7">
        <f t="shared" si="8"/>
        <v>5770.1998006456661</v>
      </c>
      <c r="I39" s="7">
        <f t="shared" si="9"/>
        <v>28.931134666077664</v>
      </c>
      <c r="J39" s="7">
        <f t="shared" si="10"/>
        <v>1.4360705598727221</v>
      </c>
      <c r="K39" s="24">
        <f t="shared" si="11"/>
        <v>9.5200000000000007E-2</v>
      </c>
      <c r="L39" s="7">
        <f t="shared" si="0"/>
        <v>6706.2546915280282</v>
      </c>
      <c r="M39" s="33">
        <f t="shared" si="1"/>
        <v>3821.6056849557017</v>
      </c>
      <c r="N39" s="79">
        <f t="shared" si="12"/>
        <v>4884.0120653733866</v>
      </c>
      <c r="O39" s="7">
        <f t="shared" si="2"/>
        <v>30.80039972652882</v>
      </c>
      <c r="P39" s="1">
        <f t="shared" si="3"/>
        <v>126.60956733044921</v>
      </c>
      <c r="Q39">
        <f t="shared" si="13"/>
        <v>39.36291085050383</v>
      </c>
    </row>
    <row r="40" spans="1:17" x14ac:dyDescent="0.4">
      <c r="A40" s="22" t="s">
        <v>175</v>
      </c>
      <c r="B40" s="7">
        <v>10</v>
      </c>
      <c r="C40" s="7">
        <v>5.3745510000000003</v>
      </c>
      <c r="D40" s="7">
        <f t="shared" si="4"/>
        <v>5562.6602849999999</v>
      </c>
      <c r="E40" s="7">
        <f t="shared" si="5"/>
        <v>927.29546950949987</v>
      </c>
      <c r="F40" s="7">
        <f t="shared" si="6"/>
        <v>8345659.2255854988</v>
      </c>
      <c r="G40" s="7">
        <f t="shared" si="7"/>
        <v>34918238.199849732</v>
      </c>
      <c r="H40" s="7">
        <f t="shared" si="8"/>
        <v>9046.8484512747054</v>
      </c>
      <c r="I40" s="7">
        <f t="shared" si="9"/>
        <v>37.578091367574153</v>
      </c>
      <c r="J40" s="7">
        <f t="shared" si="10"/>
        <v>1.6403094653089358</v>
      </c>
      <c r="K40" s="24">
        <f t="shared" si="11"/>
        <v>9.5200000000000007E-2</v>
      </c>
      <c r="L40" s="7">
        <f t="shared" si="0"/>
        <v>10514.448713390349</v>
      </c>
      <c r="M40" s="33">
        <f t="shared" si="1"/>
        <v>5447.4293605315306</v>
      </c>
      <c r="N40" s="79">
        <f t="shared" si="12"/>
        <v>6961.8147227592963</v>
      </c>
      <c r="O40" s="7">
        <f t="shared" si="2"/>
        <v>38.437229233572253</v>
      </c>
      <c r="P40" s="1">
        <f t="shared" si="3"/>
        <v>140.00172186275782</v>
      </c>
      <c r="Q40">
        <f t="shared" si="13"/>
        <v>49.122778960505343</v>
      </c>
    </row>
    <row r="41" spans="1:17" x14ac:dyDescent="0.4">
      <c r="A41" s="22" t="s">
        <v>176</v>
      </c>
      <c r="B41" s="7">
        <v>3</v>
      </c>
      <c r="C41" s="7">
        <v>1.7902999999999999E-2</v>
      </c>
      <c r="D41" s="7">
        <f t="shared" si="4"/>
        <v>18.529605</v>
      </c>
      <c r="E41" s="7">
        <f t="shared" si="5"/>
        <v>3.0888851534999997</v>
      </c>
      <c r="F41" s="7">
        <f t="shared" si="6"/>
        <v>27799.966381499999</v>
      </c>
      <c r="G41" s="7">
        <f t="shared" si="7"/>
        <v>116315.05934019599</v>
      </c>
      <c r="H41" s="7">
        <f t="shared" si="8"/>
        <v>197.98320156627477</v>
      </c>
      <c r="I41" s="7">
        <f t="shared" si="9"/>
        <v>4.0713018042891527</v>
      </c>
      <c r="J41" s="7">
        <f t="shared" si="10"/>
        <v>0.52981038098002564</v>
      </c>
      <c r="K41" s="24">
        <f t="shared" si="11"/>
        <v>9.5200000000000007E-2</v>
      </c>
      <c r="L41" s="7">
        <f t="shared" si="0"/>
        <v>230.10048528978172</v>
      </c>
      <c r="M41" s="33">
        <f t="shared" si="1"/>
        <v>267.81745299291703</v>
      </c>
      <c r="N41" s="79">
        <f t="shared" si="12"/>
        <v>342.27070492494795</v>
      </c>
      <c r="O41" s="7">
        <f t="shared" si="2"/>
        <v>5.8506574248999792</v>
      </c>
      <c r="P41" s="1">
        <f t="shared" si="3"/>
        <v>59.568668165837408</v>
      </c>
      <c r="Q41">
        <f t="shared" si="13"/>
        <v>7.4771401890221734</v>
      </c>
    </row>
    <row r="42" spans="1:17" x14ac:dyDescent="0.4">
      <c r="A42" s="22" t="s">
        <v>165</v>
      </c>
      <c r="B42" s="7">
        <v>15</v>
      </c>
      <c r="C42" s="7">
        <v>18.102630999999999</v>
      </c>
      <c r="D42" s="7">
        <f t="shared" si="4"/>
        <v>18736.223084999998</v>
      </c>
      <c r="E42" s="7">
        <f t="shared" si="5"/>
        <v>3123.3283882694996</v>
      </c>
      <c r="F42" s="7">
        <f t="shared" si="6"/>
        <v>28109955.494425494</v>
      </c>
      <c r="G42" s="7">
        <f t="shared" si="7"/>
        <v>117612053.78867628</v>
      </c>
      <c r="H42" s="7">
        <f t="shared" si="8"/>
        <v>20410.563142242845</v>
      </c>
      <c r="I42" s="7">
        <f t="shared" si="9"/>
        <v>60.312810618711417</v>
      </c>
      <c r="J42" s="7">
        <f t="shared" si="10"/>
        <v>2.0864589188205702</v>
      </c>
      <c r="K42" s="24">
        <f t="shared" si="11"/>
        <v>9.5200000000000007E-2</v>
      </c>
      <c r="L42" s="7">
        <f t="shared" si="0"/>
        <v>23721.610959481663</v>
      </c>
      <c r="M42" s="33">
        <f t="shared" si="1"/>
        <v>10344.690291369247</v>
      </c>
      <c r="N42" s="79">
        <f t="shared" si="12"/>
        <v>13220.514192369898</v>
      </c>
      <c r="O42" s="7">
        <f t="shared" si="2"/>
        <v>57.384408878437661</v>
      </c>
      <c r="P42" s="1">
        <f t="shared" si="3"/>
        <v>167.93356489691658</v>
      </c>
      <c r="Q42">
        <f t="shared" si="13"/>
        <v>73.337274546643329</v>
      </c>
    </row>
    <row r="43" spans="1:17" x14ac:dyDescent="0.4">
      <c r="A43" s="22" t="s">
        <v>177</v>
      </c>
      <c r="B43" s="7">
        <v>2</v>
      </c>
      <c r="C43" s="7">
        <v>4.3027000000000003E-2</v>
      </c>
      <c r="D43" s="7">
        <f t="shared" si="4"/>
        <v>44.532945000000005</v>
      </c>
      <c r="E43" s="7">
        <f t="shared" si="5"/>
        <v>7.4236419315000006</v>
      </c>
      <c r="F43" s="7">
        <f t="shared" si="6"/>
        <v>66812.777383500012</v>
      </c>
      <c r="G43" s="7">
        <f t="shared" si="7"/>
        <v>279544.66057256405</v>
      </c>
      <c r="H43" s="7">
        <f t="shared" si="8"/>
        <v>356.26615252802043</v>
      </c>
      <c r="I43" s="7">
        <f t="shared" si="9"/>
        <v>5.7292651387403932</v>
      </c>
      <c r="J43" s="7">
        <f t="shared" si="10"/>
        <v>0.63032487337289234</v>
      </c>
      <c r="K43" s="24">
        <f t="shared" si="11"/>
        <v>9.5200000000000007E-2</v>
      </c>
      <c r="L43" s="7">
        <f t="shared" si="0"/>
        <v>414.06045533403062</v>
      </c>
      <c r="M43" s="33">
        <f t="shared" si="1"/>
        <v>425.55127037022277</v>
      </c>
      <c r="N43" s="79">
        <f t="shared" si="12"/>
        <v>543.85452353314474</v>
      </c>
      <c r="O43" s="7">
        <f t="shared" si="2"/>
        <v>7.8140053385891033</v>
      </c>
      <c r="P43" s="1">
        <f t="shared" si="3"/>
        <v>67.930339790710718</v>
      </c>
      <c r="Q43">
        <f t="shared" si="13"/>
        <v>9.9862988227168739</v>
      </c>
    </row>
    <row r="44" spans="1:17" x14ac:dyDescent="0.4">
      <c r="A44" s="21" t="s">
        <v>178</v>
      </c>
      <c r="B44" s="7">
        <v>1.5</v>
      </c>
      <c r="C44" s="7">
        <v>2.5406000000000001E-2</v>
      </c>
      <c r="D44" s="7">
        <f t="shared" si="4"/>
        <v>26.295210000000001</v>
      </c>
      <c r="E44" s="7">
        <f t="shared" si="5"/>
        <v>4.3834115069999999</v>
      </c>
      <c r="F44" s="7">
        <f t="shared" si="6"/>
        <v>39450.703563000003</v>
      </c>
      <c r="G44" s="7">
        <f t="shared" si="7"/>
        <v>165061.74370759202</v>
      </c>
      <c r="H44" s="7">
        <f t="shared" si="8"/>
        <v>250.3083664185246</v>
      </c>
      <c r="I44" s="7">
        <f t="shared" si="9"/>
        <v>4.6661272847625277</v>
      </c>
      <c r="J44" s="7">
        <f t="shared" si="10"/>
        <v>0.56785248178178294</v>
      </c>
      <c r="K44" s="24">
        <f t="shared" si="11"/>
        <v>9.5200000000000007E-2</v>
      </c>
      <c r="L44" s="7">
        <f t="shared" si="0"/>
        <v>290.91395698899618</v>
      </c>
      <c r="M44" s="33">
        <f t="shared" si="1"/>
        <v>322.19396340317252</v>
      </c>
      <c r="N44" s="79">
        <f t="shared" si="12"/>
        <v>411.76388522925447</v>
      </c>
      <c r="O44" s="7">
        <f t="shared" si="2"/>
        <v>6.5670168191337845</v>
      </c>
      <c r="P44" s="1">
        <f t="shared" si="3"/>
        <v>62.775324921921253</v>
      </c>
      <c r="Q44">
        <f t="shared" si="13"/>
        <v>8.3926474948529766</v>
      </c>
    </row>
    <row r="45" spans="1:17" x14ac:dyDescent="0.4">
      <c r="A45" s="21" t="s">
        <v>539</v>
      </c>
      <c r="B45" s="7">
        <v>3</v>
      </c>
      <c r="C45" s="7">
        <v>0.20410900000000001</v>
      </c>
      <c r="D45" s="7">
        <f t="shared" si="4"/>
        <v>211.25281500000003</v>
      </c>
      <c r="E45" s="7">
        <f t="shared" si="5"/>
        <v>35.215844260499999</v>
      </c>
      <c r="F45" s="7">
        <f t="shared" si="6"/>
        <v>316942.5983445</v>
      </c>
      <c r="G45" s="7">
        <f t="shared" si="7"/>
        <v>1326087.831473388</v>
      </c>
      <c r="H45" s="7">
        <f t="shared" si="8"/>
        <v>1011.0571223710178</v>
      </c>
      <c r="I45" s="7">
        <f t="shared" si="9"/>
        <v>10.507894336439737</v>
      </c>
      <c r="J45" s="7">
        <f t="shared" si="10"/>
        <v>0.85804879639494058</v>
      </c>
      <c r="K45" s="24">
        <f t="shared" si="11"/>
        <v>9.5200000000000007E-2</v>
      </c>
      <c r="L45" s="7">
        <f t="shared" si="0"/>
        <v>1175.0731005094071</v>
      </c>
      <c r="M45" s="33">
        <f t="shared" si="1"/>
        <v>968.321091867772</v>
      </c>
      <c r="N45" s="79">
        <f t="shared" si="12"/>
        <v>1237.5143554070125</v>
      </c>
      <c r="O45" s="7">
        <f t="shared" si="2"/>
        <v>13.061518286434794</v>
      </c>
      <c r="P45" s="1">
        <f t="shared" si="3"/>
        <v>85.772154722520511</v>
      </c>
      <c r="Q45">
        <f t="shared" si="13"/>
        <v>16.692620370063665</v>
      </c>
    </row>
    <row r="46" spans="1:17" x14ac:dyDescent="0.4">
      <c r="A46" s="21" t="s">
        <v>543</v>
      </c>
      <c r="B46" s="7">
        <v>1</v>
      </c>
      <c r="C46" s="7">
        <v>7.6189999999999999E-3</v>
      </c>
      <c r="D46" s="7">
        <f t="shared" si="4"/>
        <v>7.8856649999999995</v>
      </c>
      <c r="E46" s="7">
        <f t="shared" si="5"/>
        <v>1.3145403554999997</v>
      </c>
      <c r="F46" s="7">
        <f t="shared" si="6"/>
        <v>11830.863199499998</v>
      </c>
      <c r="G46" s="7">
        <f t="shared" si="7"/>
        <v>49500.331626707994</v>
      </c>
      <c r="H46" s="7">
        <f t="shared" si="8"/>
        <v>111.69653256897244</v>
      </c>
      <c r="I46" s="7">
        <f t="shared" si="9"/>
        <v>2.9186421624629877</v>
      </c>
      <c r="J46" s="7">
        <f t="shared" si="10"/>
        <v>0.4473170830156642</v>
      </c>
      <c r="K46" s="24">
        <f t="shared" si="11"/>
        <v>9.5200000000000007E-2</v>
      </c>
      <c r="L46" s="7">
        <f t="shared" si="0"/>
        <v>129.81619726309421</v>
      </c>
      <c r="M46" s="33">
        <f t="shared" si="1"/>
        <v>170.56688162488607</v>
      </c>
      <c r="N46" s="79">
        <f t="shared" si="12"/>
        <v>217.98447471660438</v>
      </c>
      <c r="O46" s="7">
        <f t="shared" si="2"/>
        <v>4.4133206565713126</v>
      </c>
      <c r="P46" s="1">
        <f t="shared" si="3"/>
        <v>52.41289431619407</v>
      </c>
      <c r="Q46">
        <f t="shared" si="13"/>
        <v>5.6402237990981376</v>
      </c>
    </row>
    <row r="47" spans="1:17" x14ac:dyDescent="0.4">
      <c r="A47" s="21" t="s">
        <v>546</v>
      </c>
      <c r="B47" s="7">
        <v>2</v>
      </c>
      <c r="C47" s="7">
        <v>6.0074000000000002E-2</v>
      </c>
      <c r="D47" s="7">
        <f t="shared" si="4"/>
        <v>62.176590000000004</v>
      </c>
      <c r="E47" s="7">
        <f t="shared" si="5"/>
        <v>10.364837552999999</v>
      </c>
      <c r="F47" s="7">
        <f t="shared" si="6"/>
        <v>93283.537977</v>
      </c>
      <c r="G47" s="7">
        <f t="shared" si="7"/>
        <v>390298.32289576804</v>
      </c>
      <c r="H47" s="7">
        <f t="shared" si="8"/>
        <v>445.54137184270121</v>
      </c>
      <c r="I47" s="7">
        <f t="shared" si="9"/>
        <v>6.5248372191571518</v>
      </c>
      <c r="J47" s="7">
        <f t="shared" si="10"/>
        <v>0.67341044866282485</v>
      </c>
      <c r="K47" s="24">
        <f t="shared" si="11"/>
        <v>9.5200000000000007E-2</v>
      </c>
      <c r="L47" s="7">
        <f t="shared" si="0"/>
        <v>517.81810308468198</v>
      </c>
      <c r="M47" s="33">
        <f t="shared" si="1"/>
        <v>507.57392831166595</v>
      </c>
      <c r="N47" s="79">
        <f t="shared" si="12"/>
        <v>648.67948038230907</v>
      </c>
      <c r="O47" s="7">
        <f t="shared" si="2"/>
        <v>8.723800255866589</v>
      </c>
      <c r="P47" s="1">
        <f t="shared" si="3"/>
        <v>71.412877601787258</v>
      </c>
      <c r="Q47">
        <f t="shared" si="13"/>
        <v>11.149016726997502</v>
      </c>
    </row>
    <row r="48" spans="1:17" x14ac:dyDescent="0.4">
      <c r="A48" s="21" t="s">
        <v>166</v>
      </c>
      <c r="B48" s="7">
        <v>1.3</v>
      </c>
      <c r="C48" s="7">
        <v>1.6417999999999999E-2</v>
      </c>
      <c r="D48" s="7">
        <f t="shared" si="4"/>
        <v>16.992629999999998</v>
      </c>
      <c r="E48" s="7">
        <f t="shared" si="5"/>
        <v>2.8326714209999997</v>
      </c>
      <c r="F48" s="7">
        <f t="shared" si="6"/>
        <v>25494.042788999996</v>
      </c>
      <c r="G48" s="7">
        <f t="shared" si="7"/>
        <v>106667.07502917599</v>
      </c>
      <c r="H48" s="7">
        <f t="shared" si="8"/>
        <v>186.82397899179617</v>
      </c>
      <c r="I48" s="7">
        <f t="shared" si="9"/>
        <v>3.9362454476629822</v>
      </c>
      <c r="J48" s="7">
        <f t="shared" si="10"/>
        <v>0.52079926138623078</v>
      </c>
      <c r="K48" s="24">
        <f t="shared" si="11"/>
        <v>9.5200000000000007E-2</v>
      </c>
      <c r="L48" s="7">
        <f t="shared" si="0"/>
        <v>217.13098833483596</v>
      </c>
      <c r="M48" s="33">
        <f t="shared" si="1"/>
        <v>255.84617983573131</v>
      </c>
      <c r="N48" s="79">
        <f t="shared" si="12"/>
        <v>326.97141783006464</v>
      </c>
      <c r="O48" s="7">
        <f t="shared" si="2"/>
        <v>5.6858426202559134</v>
      </c>
      <c r="P48" s="1">
        <f t="shared" si="3"/>
        <v>58.800984824728516</v>
      </c>
      <c r="Q48">
        <f t="shared" si="13"/>
        <v>7.2665068686870571</v>
      </c>
    </row>
    <row r="49" spans="1:17" x14ac:dyDescent="0.4">
      <c r="A49" s="22" t="s">
        <v>167</v>
      </c>
      <c r="B49" s="7">
        <v>2</v>
      </c>
      <c r="C49" s="7">
        <v>5.2254000000000002E-2</v>
      </c>
      <c r="D49" s="7">
        <f t="shared" si="4"/>
        <v>54.082889999999999</v>
      </c>
      <c r="E49" s="7">
        <f t="shared" si="5"/>
        <v>9.0156177629999998</v>
      </c>
      <c r="F49" s="7">
        <f t="shared" si="6"/>
        <v>81140.559867000004</v>
      </c>
      <c r="G49" s="7">
        <f t="shared" si="7"/>
        <v>339492.10248352803</v>
      </c>
      <c r="H49" s="7">
        <f t="shared" si="8"/>
        <v>405.79635479486006</v>
      </c>
      <c r="I49" s="7">
        <f t="shared" si="9"/>
        <v>6.1797765865441532</v>
      </c>
      <c r="J49" s="7">
        <f t="shared" si="10"/>
        <v>0.6550595968874201</v>
      </c>
      <c r="K49" s="24">
        <f t="shared" si="11"/>
        <v>9.5200000000000007E-2</v>
      </c>
      <c r="L49" s="7">
        <f t="shared" si="0"/>
        <v>471.6255592819316</v>
      </c>
      <c r="M49" s="33">
        <f t="shared" si="1"/>
        <v>471.53415548113276</v>
      </c>
      <c r="N49" s="79">
        <f t="shared" si="12"/>
        <v>602.62065070488768</v>
      </c>
      <c r="O49" s="7">
        <f t="shared" si="2"/>
        <v>8.3314117828771259</v>
      </c>
      <c r="P49" s="1">
        <f t="shared" si="3"/>
        <v>69.936457763560085</v>
      </c>
      <c r="Q49">
        <f t="shared" si="13"/>
        <v>10.647544258516968</v>
      </c>
    </row>
    <row r="50" spans="1:17" x14ac:dyDescent="0.4">
      <c r="A50" s="22" t="s">
        <v>168</v>
      </c>
      <c r="B50" s="7">
        <v>3</v>
      </c>
      <c r="C50" s="7">
        <v>0.176591</v>
      </c>
      <c r="D50" s="7">
        <f>C50*$B$3</f>
        <v>182.77168499999999</v>
      </c>
      <c r="E50" s="7">
        <f t="shared" si="5"/>
        <v>30.468039889499995</v>
      </c>
      <c r="F50" s="7">
        <f t="shared" si="6"/>
        <v>274212.35900549998</v>
      </c>
      <c r="G50" s="7">
        <f t="shared" si="7"/>
        <v>1147304.510079012</v>
      </c>
      <c r="H50" s="7">
        <f t="shared" si="8"/>
        <v>917.56531468541834</v>
      </c>
      <c r="I50" s="7">
        <f t="shared" si="9"/>
        <v>9.9314430080234875</v>
      </c>
      <c r="J50" s="7">
        <f t="shared" si="10"/>
        <v>0.83378106201252222</v>
      </c>
      <c r="K50" s="24">
        <f t="shared" si="11"/>
        <v>9.5200000000000007E-2</v>
      </c>
      <c r="L50" s="7">
        <f t="shared" si="0"/>
        <v>1066.4148398646319</v>
      </c>
      <c r="M50" s="33">
        <f t="shared" si="1"/>
        <v>897.02500106512377</v>
      </c>
      <c r="N50" s="79">
        <f t="shared" si="12"/>
        <v>1146.3979513612283</v>
      </c>
      <c r="O50" s="7">
        <f t="shared" si="2"/>
        <v>12.451990434472343</v>
      </c>
      <c r="P50" s="1">
        <f t="shared" si="3"/>
        <v>83.931483312717461</v>
      </c>
      <c r="Q50">
        <f t="shared" si="13"/>
        <v>15.913643775255654</v>
      </c>
    </row>
    <row r="51" spans="1:17" ht="20.25" x14ac:dyDescent="0.4">
      <c r="A51" s="172" t="s">
        <v>776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</row>
    <row r="52" spans="1:17" x14ac:dyDescent="0.4">
      <c r="A52" s="17" t="s">
        <v>179</v>
      </c>
      <c r="B52" s="7">
        <v>3.6</v>
      </c>
      <c r="C52" s="7">
        <v>0.40667500000000001</v>
      </c>
      <c r="D52" s="7">
        <f t="shared" ref="D52:D68" si="14">C52*$B$3</f>
        <v>420.90862500000003</v>
      </c>
      <c r="E52" s="7">
        <f t="shared" si="5"/>
        <v>70.165467787500006</v>
      </c>
      <c r="F52" s="7">
        <f t="shared" si="6"/>
        <v>631489.21008750005</v>
      </c>
      <c r="G52" s="7">
        <f t="shared" si="7"/>
        <v>2642150.8550061001</v>
      </c>
      <c r="H52" s="7">
        <f t="shared" si="8"/>
        <v>1604.5891733788128</v>
      </c>
      <c r="I52" s="7">
        <f t="shared" si="9"/>
        <v>13.74536313537595</v>
      </c>
      <c r="J52" s="7">
        <f t="shared" si="10"/>
        <v>0.98361182288218085</v>
      </c>
      <c r="K52" s="24">
        <f>$M$4*$M$6*$M$5</f>
        <v>6.720000000000001E-2</v>
      </c>
      <c r="L52" s="7">
        <f t="shared" ref="L52:L68" si="15">POWER(D52,0.67)*28*1000*4.184/3600</f>
        <v>1864.8892661815019</v>
      </c>
      <c r="M52" s="144">
        <f t="shared" ref="M52:M68" si="16">O52*J52*24*3600/1000</f>
        <v>1393.5684364485628</v>
      </c>
      <c r="N52" s="80">
        <f>M52*1.278</f>
        <v>1780.9804617812633</v>
      </c>
      <c r="O52" s="7">
        <f t="shared" ref="O52:O68" si="17">G52/L52/3600/24*1000</f>
        <v>16.397997599790191</v>
      </c>
      <c r="P52" s="1">
        <f t="shared" ref="P52:P68" si="18">POWER(10,($Q$4+($Q$5*LOG10(1))+$Q$6*LOG10(D52*1000)))</f>
        <v>95.102966020377153</v>
      </c>
      <c r="Q52">
        <f>O52*1.278</f>
        <v>20.956640932531865</v>
      </c>
    </row>
    <row r="53" spans="1:17" x14ac:dyDescent="0.4">
      <c r="A53" s="21" t="s">
        <v>180</v>
      </c>
      <c r="B53" s="7">
        <v>0.2</v>
      </c>
      <c r="C53" s="7">
        <v>6.8999999999999997E-5</v>
      </c>
      <c r="D53" s="7">
        <f t="shared" si="14"/>
        <v>7.1414999999999992E-2</v>
      </c>
      <c r="E53" s="7">
        <f t="shared" si="5"/>
        <v>1.1904880499999998E-2</v>
      </c>
      <c r="F53" s="7">
        <f t="shared" si="6"/>
        <v>107.14392449999998</v>
      </c>
      <c r="G53" s="7">
        <f t="shared" si="7"/>
        <v>448.29018010799996</v>
      </c>
      <c r="H53" s="7">
        <f t="shared" si="8"/>
        <v>4.7774586836397352</v>
      </c>
      <c r="I53" s="7">
        <f t="shared" si="9"/>
        <v>0.35089582804020197</v>
      </c>
      <c r="J53" s="7">
        <f t="shared" si="10"/>
        <v>0.15233291468731114</v>
      </c>
      <c r="K53" s="24">
        <f>$M$4*$M$6*$M$5</f>
        <v>6.720000000000001E-2</v>
      </c>
      <c r="L53" s="7">
        <f t="shared" si="15"/>
        <v>5.5524688602906362</v>
      </c>
      <c r="M53" s="144">
        <f t="shared" si="16"/>
        <v>12.298916298285516</v>
      </c>
      <c r="N53" s="80">
        <f t="shared" ref="N53:N68" si="19">M53*1.278</f>
        <v>15.718015029208889</v>
      </c>
      <c r="O53" s="7">
        <f t="shared" si="17"/>
        <v>0.93445706438026077</v>
      </c>
      <c r="P53" s="1">
        <f t="shared" si="18"/>
        <v>25.905420483028806</v>
      </c>
      <c r="Q53">
        <f t="shared" ref="Q53:Q68" si="20">O53*1.278</f>
        <v>1.1942361282779732</v>
      </c>
    </row>
    <row r="54" spans="1:17" x14ac:dyDescent="0.4">
      <c r="A54" t="s">
        <v>575</v>
      </c>
      <c r="B54" s="7">
        <v>3</v>
      </c>
      <c r="C54" s="7">
        <v>0.13298399999999999</v>
      </c>
      <c r="D54" s="7">
        <f t="shared" si="14"/>
        <v>137.63844</v>
      </c>
      <c r="E54" s="7">
        <f t="shared" si="5"/>
        <v>22.944327947999998</v>
      </c>
      <c r="F54" s="7">
        <f t="shared" si="6"/>
        <v>206498.95153199998</v>
      </c>
      <c r="G54" s="7">
        <f t="shared" si="7"/>
        <v>863991.61320988799</v>
      </c>
      <c r="H54" s="7">
        <f t="shared" si="8"/>
        <v>758.77609765672128</v>
      </c>
      <c r="I54" s="7">
        <f t="shared" si="9"/>
        <v>8.8925362559076451</v>
      </c>
      <c r="J54" s="7">
        <f t="shared" si="10"/>
        <v>0.78822601479887822</v>
      </c>
      <c r="K54" s="24">
        <f t="shared" ref="K54:K68" si="21">$M$4*$M$6*$M$5</f>
        <v>6.720000000000001E-2</v>
      </c>
      <c r="L54" s="7">
        <f t="shared" si="15"/>
        <v>881.86647612450543</v>
      </c>
      <c r="M54" s="144">
        <f t="shared" si="16"/>
        <v>772.24918345114031</v>
      </c>
      <c r="N54" s="80">
        <f t="shared" si="19"/>
        <v>986.93445645055738</v>
      </c>
      <c r="O54" s="7">
        <f t="shared" si="17"/>
        <v>11.339475080871736</v>
      </c>
      <c r="P54" s="1">
        <f t="shared" si="18"/>
        <v>80.440401582437374</v>
      </c>
      <c r="Q54">
        <f t="shared" si="20"/>
        <v>14.49184915335408</v>
      </c>
    </row>
    <row r="55" spans="1:17" x14ac:dyDescent="0.4">
      <c r="A55" s="21" t="s">
        <v>190</v>
      </c>
      <c r="B55" s="7">
        <v>1.5</v>
      </c>
      <c r="C55" s="7">
        <v>2.1009E-2</v>
      </c>
      <c r="D55" s="7">
        <f t="shared" si="14"/>
        <v>21.744315</v>
      </c>
      <c r="E55" s="7">
        <f t="shared" si="5"/>
        <v>3.6247773104999998</v>
      </c>
      <c r="F55" s="7">
        <f t="shared" si="6"/>
        <v>32622.995794499999</v>
      </c>
      <c r="G55" s="7">
        <f t="shared" si="7"/>
        <v>136494.614404188</v>
      </c>
      <c r="H55" s="7">
        <f t="shared" si="8"/>
        <v>220.38379351707974</v>
      </c>
      <c r="I55" s="7">
        <f t="shared" si="9"/>
        <v>4.3331381739516086</v>
      </c>
      <c r="J55" s="78">
        <f t="shared" si="10"/>
        <v>0.54687136483756182</v>
      </c>
      <c r="K55" s="24">
        <f t="shared" si="21"/>
        <v>6.720000000000001E-2</v>
      </c>
      <c r="L55" s="7">
        <f t="shared" si="15"/>
        <v>256.13495204191764</v>
      </c>
      <c r="M55" s="144">
        <f t="shared" si="16"/>
        <v>291.42838756336164</v>
      </c>
      <c r="N55" s="80">
        <f t="shared" si="19"/>
        <v>372.44547930597616</v>
      </c>
      <c r="O55" s="7">
        <f t="shared" si="17"/>
        <v>6.1678375607547267</v>
      </c>
      <c r="P55" s="1">
        <f t="shared" si="18"/>
        <v>61.013492883709326</v>
      </c>
      <c r="Q55">
        <f t="shared" si="20"/>
        <v>7.8824964026445405</v>
      </c>
    </row>
    <row r="56" spans="1:17" x14ac:dyDescent="0.4">
      <c r="A56" s="21" t="s">
        <v>591</v>
      </c>
      <c r="B56" s="7">
        <v>2</v>
      </c>
      <c r="C56" s="7">
        <v>4.9612000000000003E-2</v>
      </c>
      <c r="D56" s="7">
        <f t="shared" si="14"/>
        <v>51.348420000000004</v>
      </c>
      <c r="E56" s="7">
        <f t="shared" si="5"/>
        <v>8.5597816140000003</v>
      </c>
      <c r="F56" s="7">
        <f t="shared" si="6"/>
        <v>77038.034526000003</v>
      </c>
      <c r="G56" s="7">
        <f t="shared" si="7"/>
        <v>322327.13645678404</v>
      </c>
      <c r="H56" s="7">
        <f t="shared" si="8"/>
        <v>391.93239515901126</v>
      </c>
      <c r="I56" s="7">
        <f t="shared" si="9"/>
        <v>6.0561133267047431</v>
      </c>
      <c r="J56" s="78">
        <f t="shared" si="10"/>
        <v>0.64836087500638673</v>
      </c>
      <c r="K56" s="24">
        <f t="shared" si="21"/>
        <v>6.720000000000001E-2</v>
      </c>
      <c r="L56" s="7">
        <f t="shared" si="15"/>
        <v>455.51255668873506</v>
      </c>
      <c r="M56" s="144">
        <f t="shared" si="16"/>
        <v>458.78933777500356</v>
      </c>
      <c r="N56" s="80">
        <f t="shared" si="19"/>
        <v>586.33277367645451</v>
      </c>
      <c r="O56" s="7">
        <f t="shared" si="17"/>
        <v>8.1899787363803753</v>
      </c>
      <c r="P56" s="1">
        <f t="shared" si="18"/>
        <v>69.39500813160744</v>
      </c>
      <c r="Q56">
        <f t="shared" si="20"/>
        <v>10.466792825094119</v>
      </c>
    </row>
    <row r="57" spans="1:17" x14ac:dyDescent="0.4">
      <c r="A57" s="21" t="s">
        <v>192</v>
      </c>
      <c r="B57" s="7">
        <v>2.5</v>
      </c>
      <c r="C57" s="7">
        <v>9.6619999999999998E-2</v>
      </c>
      <c r="D57" s="7">
        <f t="shared" si="14"/>
        <v>100.0017</v>
      </c>
      <c r="E57" s="7">
        <f t="shared" si="5"/>
        <v>16.670283389999998</v>
      </c>
      <c r="F57" s="7">
        <f t="shared" si="6"/>
        <v>150032.55050999997</v>
      </c>
      <c r="G57" s="7">
        <f t="shared" si="7"/>
        <v>627736.1913338399</v>
      </c>
      <c r="H57" s="7">
        <f t="shared" si="8"/>
        <v>612.58020846072156</v>
      </c>
      <c r="I57" s="7">
        <f t="shared" si="9"/>
        <v>7.8519136987023606</v>
      </c>
      <c r="J57" s="78">
        <f t="shared" si="10"/>
        <v>0.73988845721918928</v>
      </c>
      <c r="K57" s="24">
        <f t="shared" si="21"/>
        <v>6.720000000000001E-2</v>
      </c>
      <c r="L57" s="7">
        <f t="shared" si="15"/>
        <v>711.95435840319544</v>
      </c>
      <c r="M57" s="144">
        <f t="shared" si="16"/>
        <v>652.3659229902679</v>
      </c>
      <c r="N57" s="80">
        <f t="shared" si="19"/>
        <v>833.72364958156243</v>
      </c>
      <c r="O57" s="7">
        <f t="shared" si="17"/>
        <v>10.20495919678099</v>
      </c>
      <c r="P57" s="1">
        <f t="shared" si="18"/>
        <v>76.681783608988809</v>
      </c>
      <c r="Q57">
        <f t="shared" si="20"/>
        <v>13.041937853486106</v>
      </c>
    </row>
    <row r="58" spans="1:17" x14ac:dyDescent="0.4">
      <c r="A58" s="21" t="s">
        <v>188</v>
      </c>
      <c r="B58" s="7">
        <v>1.2</v>
      </c>
      <c r="C58" s="7">
        <v>1.059E-2</v>
      </c>
      <c r="D58" s="7">
        <f t="shared" si="14"/>
        <v>10.960650000000001</v>
      </c>
      <c r="E58" s="7">
        <f t="shared" si="5"/>
        <v>1.827140355</v>
      </c>
      <c r="F58" s="7">
        <f t="shared" si="6"/>
        <v>16444.263195</v>
      </c>
      <c r="G58" s="7">
        <f t="shared" si="7"/>
        <v>68802.797207879994</v>
      </c>
      <c r="H58" s="7">
        <f t="shared" si="8"/>
        <v>139.26703910888099</v>
      </c>
      <c r="I58" s="7">
        <f t="shared" si="9"/>
        <v>3.3181259537359291</v>
      </c>
      <c r="J58" s="78">
        <f t="shared" si="10"/>
        <v>0.47746887631713664</v>
      </c>
      <c r="K58" s="24">
        <f t="shared" si="21"/>
        <v>6.720000000000001E-2</v>
      </c>
      <c r="L58" s="7">
        <f t="shared" si="15"/>
        <v>161.85925386754258</v>
      </c>
      <c r="M58" s="144">
        <f t="shared" si="16"/>
        <v>202.96148342068869</v>
      </c>
      <c r="N58" s="80">
        <f t="shared" si="19"/>
        <v>259.38477581164017</v>
      </c>
      <c r="O58" s="7">
        <f t="shared" si="17"/>
        <v>4.9198834935886646</v>
      </c>
      <c r="P58" s="1">
        <f t="shared" si="18"/>
        <v>55.062909465468771</v>
      </c>
      <c r="Q58">
        <f t="shared" si="20"/>
        <v>6.2876111048063139</v>
      </c>
    </row>
    <row r="59" spans="1:17" x14ac:dyDescent="0.4">
      <c r="A59" s="21" t="s">
        <v>189</v>
      </c>
      <c r="B59" s="7">
        <v>1.3</v>
      </c>
      <c r="C59" s="7">
        <v>1.3722E-2</v>
      </c>
      <c r="D59" s="7">
        <f t="shared" si="14"/>
        <v>14.20227</v>
      </c>
      <c r="E59" s="7">
        <f t="shared" si="5"/>
        <v>2.3675184090000001</v>
      </c>
      <c r="F59" s="7">
        <f t="shared" si="6"/>
        <v>21307.665681000002</v>
      </c>
      <c r="G59" s="7">
        <f t="shared" si="7"/>
        <v>89151.27320930401</v>
      </c>
      <c r="H59" s="7">
        <f t="shared" si="8"/>
        <v>165.66765203027725</v>
      </c>
      <c r="I59" s="7">
        <f t="shared" si="9"/>
        <v>3.6705506926895155</v>
      </c>
      <c r="J59" s="78">
        <f t="shared" si="10"/>
        <v>0.50261667329172088</v>
      </c>
      <c r="K59" s="24">
        <f t="shared" si="21"/>
        <v>6.720000000000001E-2</v>
      </c>
      <c r="L59" s="7">
        <f t="shared" si="15"/>
        <v>192.54263405890407</v>
      </c>
      <c r="M59" s="144">
        <f t="shared" si="16"/>
        <v>232.72204921884173</v>
      </c>
      <c r="N59" s="80">
        <f t="shared" si="19"/>
        <v>297.41877890167973</v>
      </c>
      <c r="O59" s="7">
        <f t="shared" si="17"/>
        <v>5.3590387654447014</v>
      </c>
      <c r="P59" s="1">
        <f t="shared" si="18"/>
        <v>57.242000318577347</v>
      </c>
      <c r="Q59">
        <f t="shared" si="20"/>
        <v>6.8488515422383287</v>
      </c>
    </row>
    <row r="60" spans="1:17" x14ac:dyDescent="0.4">
      <c r="A60" s="22" t="s">
        <v>181</v>
      </c>
      <c r="B60" s="7">
        <v>1.5</v>
      </c>
      <c r="C60" s="7">
        <v>3.4757999999999997E-2</v>
      </c>
      <c r="D60" s="7">
        <f t="shared" si="14"/>
        <v>35.974529999999994</v>
      </c>
      <c r="E60" s="7">
        <f t="shared" si="5"/>
        <v>5.9969541509999988</v>
      </c>
      <c r="F60" s="7">
        <f t="shared" si="6"/>
        <v>53972.58735899999</v>
      </c>
      <c r="G60" s="7">
        <f t="shared" si="7"/>
        <v>225821.30551005597</v>
      </c>
      <c r="H60" s="7">
        <f t="shared" si="8"/>
        <v>308.79819345381605</v>
      </c>
      <c r="I60" s="7">
        <f t="shared" si="9"/>
        <v>5.2721571048906712</v>
      </c>
      <c r="J60" s="78">
        <f t="shared" si="10"/>
        <v>0.60422988474297168</v>
      </c>
      <c r="K60" s="24">
        <f t="shared" si="21"/>
        <v>6.720000000000001E-2</v>
      </c>
      <c r="L60" s="7">
        <f t="shared" si="15"/>
        <v>358.89213634392854</v>
      </c>
      <c r="M60" s="144">
        <f t="shared" si="16"/>
        <v>380.19217358969814</v>
      </c>
      <c r="N60" s="80">
        <f t="shared" si="19"/>
        <v>485.88559784763424</v>
      </c>
      <c r="O60" s="7">
        <f t="shared" si="17"/>
        <v>7.2826129435524916</v>
      </c>
      <c r="P60" s="1">
        <f t="shared" si="18"/>
        <v>65.792961681564307</v>
      </c>
      <c r="Q60">
        <f t="shared" si="20"/>
        <v>9.3071793418600848</v>
      </c>
    </row>
    <row r="61" spans="1:17" x14ac:dyDescent="0.4">
      <c r="A61" s="22" t="s">
        <v>182</v>
      </c>
      <c r="B61" s="7">
        <v>1</v>
      </c>
      <c r="C61" s="7">
        <v>1.1053E-2</v>
      </c>
      <c r="D61" s="7">
        <f t="shared" si="14"/>
        <v>11.439855</v>
      </c>
      <c r="E61" s="7">
        <f t="shared" si="5"/>
        <v>1.9070238284999999</v>
      </c>
      <c r="F61" s="7">
        <f t="shared" si="6"/>
        <v>17163.214456499998</v>
      </c>
      <c r="G61" s="7">
        <f t="shared" si="7"/>
        <v>71810.889285995989</v>
      </c>
      <c r="H61" s="7">
        <f t="shared" si="8"/>
        <v>143.31767793143635</v>
      </c>
      <c r="I61" s="7">
        <f t="shared" si="9"/>
        <v>3.3739083081173051</v>
      </c>
      <c r="J61" s="78">
        <f t="shared" si="10"/>
        <v>0.48153384588224879</v>
      </c>
      <c r="K61" s="24">
        <f t="shared" si="21"/>
        <v>6.720000000000001E-2</v>
      </c>
      <c r="L61" s="7">
        <f t="shared" si="15"/>
        <v>166.56699650141255</v>
      </c>
      <c r="M61" s="144">
        <f t="shared" si="16"/>
        <v>207.60039155665973</v>
      </c>
      <c r="N61" s="80">
        <f t="shared" si="19"/>
        <v>265.31330040941111</v>
      </c>
      <c r="O61" s="7">
        <f t="shared" si="17"/>
        <v>4.9898513473778188</v>
      </c>
      <c r="P61" s="1">
        <f t="shared" si="18"/>
        <v>55.417006031864545</v>
      </c>
      <c r="Q61">
        <f t="shared" si="20"/>
        <v>6.3770300219488529</v>
      </c>
    </row>
    <row r="62" spans="1:17" x14ac:dyDescent="0.4">
      <c r="A62" s="22" t="s">
        <v>187</v>
      </c>
      <c r="B62" s="7">
        <v>1.3</v>
      </c>
      <c r="C62" s="7">
        <v>2.3976999999999998E-2</v>
      </c>
      <c r="D62" s="7">
        <f t="shared" si="14"/>
        <v>24.816194999999997</v>
      </c>
      <c r="E62" s="7">
        <f t="shared" si="5"/>
        <v>4.1368597064999992</v>
      </c>
      <c r="F62" s="7">
        <f t="shared" si="6"/>
        <v>37231.737358499995</v>
      </c>
      <c r="G62" s="7">
        <f t="shared" si="7"/>
        <v>155777.58910796398</v>
      </c>
      <c r="H62" s="7">
        <f t="shared" si="8"/>
        <v>240.78564622500068</v>
      </c>
      <c r="I62" s="7">
        <f t="shared" si="9"/>
        <v>4.5620650379690302</v>
      </c>
      <c r="J62" s="78">
        <f t="shared" si="10"/>
        <v>0.56137712380961358</v>
      </c>
      <c r="K62" s="24">
        <f t="shared" si="21"/>
        <v>6.720000000000001E-2</v>
      </c>
      <c r="L62" s="7">
        <f t="shared" si="15"/>
        <v>279.84643954067786</v>
      </c>
      <c r="M62" s="144">
        <f t="shared" si="16"/>
        <v>312.4927194748642</v>
      </c>
      <c r="N62" s="80">
        <f t="shared" si="19"/>
        <v>399.36569548887644</v>
      </c>
      <c r="O62" s="7">
        <f t="shared" si="17"/>
        <v>6.4427525266197723</v>
      </c>
      <c r="P62" s="1">
        <f t="shared" si="18"/>
        <v>62.233294908300678</v>
      </c>
      <c r="Q62">
        <f t="shared" si="20"/>
        <v>8.2338377290200686</v>
      </c>
    </row>
    <row r="63" spans="1:17" x14ac:dyDescent="0.4">
      <c r="A63" s="22" t="s">
        <v>183</v>
      </c>
      <c r="B63" s="7">
        <v>1.5</v>
      </c>
      <c r="C63" s="7">
        <v>3.7409999999999999E-2</v>
      </c>
      <c r="D63" s="7">
        <f t="shared" si="14"/>
        <v>38.719349999999999</v>
      </c>
      <c r="E63" s="7">
        <f t="shared" si="5"/>
        <v>6.454515644999999</v>
      </c>
      <c r="F63" s="7">
        <f t="shared" si="6"/>
        <v>58090.640804999988</v>
      </c>
      <c r="G63" s="7">
        <f t="shared" si="7"/>
        <v>243051.24112811996</v>
      </c>
      <c r="H63" s="7">
        <f t="shared" si="8"/>
        <v>324.39175968926179</v>
      </c>
      <c r="I63" s="7">
        <f t="shared" si="9"/>
        <v>5.4253706368184558</v>
      </c>
      <c r="J63" s="78">
        <f t="shared" si="10"/>
        <v>0.61309601072263498</v>
      </c>
      <c r="K63" s="24">
        <f t="shared" si="21"/>
        <v>6.720000000000001E-2</v>
      </c>
      <c r="L63" s="7">
        <f t="shared" si="15"/>
        <v>377.0153262397809</v>
      </c>
      <c r="M63" s="144">
        <f t="shared" si="16"/>
        <v>395.2458586313893</v>
      </c>
      <c r="N63" s="80">
        <f t="shared" si="19"/>
        <v>505.12420733091551</v>
      </c>
      <c r="O63" s="7">
        <f t="shared" si="17"/>
        <v>7.461481995093691</v>
      </c>
      <c r="P63" s="1">
        <f t="shared" si="18"/>
        <v>66.521643479242272</v>
      </c>
      <c r="Q63">
        <f t="shared" si="20"/>
        <v>9.5357739897297371</v>
      </c>
    </row>
    <row r="64" spans="1:17" x14ac:dyDescent="0.4">
      <c r="A64" s="22" t="s">
        <v>184</v>
      </c>
      <c r="B64" s="7">
        <v>1.3</v>
      </c>
      <c r="C64" s="7">
        <v>2.2377999999999999E-2</v>
      </c>
      <c r="D64" s="7">
        <f t="shared" si="14"/>
        <v>23.16123</v>
      </c>
      <c r="E64" s="7">
        <f t="shared" si="5"/>
        <v>3.8609770409999995</v>
      </c>
      <c r="F64" s="7">
        <f t="shared" si="6"/>
        <v>34748.793368999999</v>
      </c>
      <c r="G64" s="7">
        <f t="shared" si="7"/>
        <v>145388.95145589599</v>
      </c>
      <c r="H64" s="7">
        <f t="shared" si="8"/>
        <v>229.90493817142746</v>
      </c>
      <c r="I64" s="7">
        <f t="shared" si="9"/>
        <v>4.4410306251511553</v>
      </c>
      <c r="J64" s="78">
        <f t="shared" si="10"/>
        <v>0.55375363942197708</v>
      </c>
      <c r="K64" s="24">
        <f t="shared" si="21"/>
        <v>6.720000000000001E-2</v>
      </c>
      <c r="L64" s="7">
        <f t="shared" si="15"/>
        <v>267.2006383635233</v>
      </c>
      <c r="M64" s="144">
        <f t="shared" si="16"/>
        <v>301.30789167844398</v>
      </c>
      <c r="N64" s="80">
        <f t="shared" si="19"/>
        <v>385.07148556505143</v>
      </c>
      <c r="O64" s="7">
        <f t="shared" si="17"/>
        <v>6.2976739277589182</v>
      </c>
      <c r="P64" s="1">
        <f t="shared" si="18"/>
        <v>61.593200538293488</v>
      </c>
      <c r="Q64">
        <f t="shared" si="20"/>
        <v>8.0484272796758969</v>
      </c>
    </row>
    <row r="65" spans="1:17" x14ac:dyDescent="0.4">
      <c r="A65" s="21" t="s">
        <v>185</v>
      </c>
      <c r="B65" s="7">
        <v>1</v>
      </c>
      <c r="C65" s="7">
        <v>5.0777999999999997E-2</v>
      </c>
      <c r="D65" s="7">
        <f t="shared" si="14"/>
        <v>52.555229999999995</v>
      </c>
      <c r="E65" s="7">
        <f t="shared" si="5"/>
        <v>8.7609568409999987</v>
      </c>
      <c r="F65" s="7">
        <f t="shared" si="6"/>
        <v>78848.611568999986</v>
      </c>
      <c r="G65" s="7">
        <f t="shared" si="7"/>
        <v>329902.59080469597</v>
      </c>
      <c r="H65" s="7">
        <f t="shared" si="8"/>
        <v>398.08030849327253</v>
      </c>
      <c r="I65" s="7">
        <f t="shared" si="9"/>
        <v>6.1111734722481392</v>
      </c>
      <c r="J65" s="7">
        <f t="shared" si="10"/>
        <v>0.6513516547429522</v>
      </c>
      <c r="K65" s="24">
        <f t="shared" si="21"/>
        <v>6.720000000000001E-2</v>
      </c>
      <c r="L65" s="7">
        <f t="shared" si="15"/>
        <v>462.65779845945906</v>
      </c>
      <c r="M65" s="144">
        <f t="shared" si="16"/>
        <v>464.45255897584337</v>
      </c>
      <c r="N65" s="80">
        <f t="shared" si="19"/>
        <v>593.57037037112786</v>
      </c>
      <c r="O65" s="7">
        <f t="shared" si="17"/>
        <v>8.2530047821880252</v>
      </c>
      <c r="P65" s="1">
        <f t="shared" si="18"/>
        <v>69.636917004645426</v>
      </c>
      <c r="Q65">
        <f t="shared" si="20"/>
        <v>10.547340111636297</v>
      </c>
    </row>
    <row r="66" spans="1:17" x14ac:dyDescent="0.4">
      <c r="A66" s="22" t="s">
        <v>191</v>
      </c>
      <c r="B66" s="7">
        <v>0.95</v>
      </c>
      <c r="C66" s="7">
        <v>7.6340000000000002E-3</v>
      </c>
      <c r="D66" s="7">
        <f t="shared" si="14"/>
        <v>7.9011900000000006</v>
      </c>
      <c r="E66" s="7">
        <f t="shared" si="5"/>
        <v>1.3171283730000001</v>
      </c>
      <c r="F66" s="7">
        <f t="shared" si="6"/>
        <v>11854.155357000001</v>
      </c>
      <c r="G66" s="7">
        <f t="shared" si="7"/>
        <v>49597.786013688004</v>
      </c>
      <c r="H66" s="7">
        <f t="shared" si="8"/>
        <v>111.84382037768118</v>
      </c>
      <c r="I66" s="7">
        <f t="shared" si="9"/>
        <v>2.9208795042286373</v>
      </c>
      <c r="J66" s="7">
        <f t="shared" si="10"/>
        <v>0.44749141476461635</v>
      </c>
      <c r="K66" s="24">
        <f t="shared" si="21"/>
        <v>6.720000000000001E-2</v>
      </c>
      <c r="L66" s="7">
        <f t="shared" si="15"/>
        <v>129.98737843398663</v>
      </c>
      <c r="M66" s="144">
        <f t="shared" si="16"/>
        <v>170.74414223785072</v>
      </c>
      <c r="N66" s="80">
        <f t="shared" si="19"/>
        <v>218.21101377997323</v>
      </c>
      <c r="O66" s="7">
        <f t="shared" si="17"/>
        <v>4.4161860647418729</v>
      </c>
      <c r="P66" s="1">
        <f t="shared" si="18"/>
        <v>52.428338975072499</v>
      </c>
      <c r="Q66">
        <f t="shared" si="20"/>
        <v>5.6438857907401134</v>
      </c>
    </row>
    <row r="67" spans="1:17" x14ac:dyDescent="0.4">
      <c r="A67" s="22" t="s">
        <v>186</v>
      </c>
      <c r="B67" s="7">
        <v>1</v>
      </c>
      <c r="C67" s="7">
        <v>8.9130000000000008E-3</v>
      </c>
      <c r="D67" s="7">
        <f t="shared" si="14"/>
        <v>9.2249550000000013</v>
      </c>
      <c r="E67" s="7">
        <f t="shared" si="5"/>
        <v>1.5377999985000002</v>
      </c>
      <c r="F67" s="7">
        <f t="shared" si="6"/>
        <v>13840.199986500002</v>
      </c>
      <c r="G67" s="7">
        <f t="shared" si="7"/>
        <v>57907.396743516008</v>
      </c>
      <c r="H67" s="7">
        <f t="shared" si="8"/>
        <v>124.07493788753993</v>
      </c>
      <c r="I67" s="7">
        <f t="shared" si="9"/>
        <v>3.1025780485881698</v>
      </c>
      <c r="J67" s="7">
        <f t="shared" si="10"/>
        <v>0.46143659382439101</v>
      </c>
      <c r="K67" s="24">
        <f t="shared" si="21"/>
        <v>6.720000000000001E-2</v>
      </c>
      <c r="L67" s="7">
        <f t="shared" si="15"/>
        <v>144.20265555037741</v>
      </c>
      <c r="M67" s="144">
        <f t="shared" si="16"/>
        <v>185.29888932059768</v>
      </c>
      <c r="N67" s="80">
        <f t="shared" si="19"/>
        <v>236.81198055172385</v>
      </c>
      <c r="O67" s="7">
        <f t="shared" si="17"/>
        <v>4.6477958175472436</v>
      </c>
      <c r="P67" s="1">
        <f t="shared" si="18"/>
        <v>53.659097831249333</v>
      </c>
      <c r="Q67">
        <f t="shared" si="20"/>
        <v>5.9398830548253772</v>
      </c>
    </row>
    <row r="68" spans="1:17" x14ac:dyDescent="0.4">
      <c r="A68" s="21" t="s">
        <v>664</v>
      </c>
      <c r="B68" s="7">
        <v>1.25</v>
      </c>
      <c r="C68" s="7">
        <v>7.4125999999999997E-2</v>
      </c>
      <c r="D68" s="7">
        <f t="shared" si="14"/>
        <v>76.720410000000001</v>
      </c>
      <c r="E68" s="7">
        <f t="shared" si="5"/>
        <v>12.789292347</v>
      </c>
      <c r="F68" s="7">
        <f t="shared" si="6"/>
        <v>115103.631123</v>
      </c>
      <c r="G68" s="7">
        <f t="shared" si="7"/>
        <v>481593.59261863201</v>
      </c>
      <c r="H68" s="7">
        <f t="shared" si="8"/>
        <v>512.91845783479346</v>
      </c>
      <c r="I68" s="7">
        <f t="shared" si="9"/>
        <v>7.0816414408662611</v>
      </c>
      <c r="J68" s="7">
        <f t="shared" si="10"/>
        <v>0.70204392860103348</v>
      </c>
      <c r="K68" s="24">
        <f t="shared" si="21"/>
        <v>6.720000000000001E-2</v>
      </c>
      <c r="L68" s="7">
        <f t="shared" si="15"/>
        <v>596.12525268899822</v>
      </c>
      <c r="M68" s="33">
        <f t="shared" si="16"/>
        <v>567.1624482035802</v>
      </c>
      <c r="N68" s="80">
        <f t="shared" si="19"/>
        <v>724.83360880417547</v>
      </c>
      <c r="O68" s="7">
        <f t="shared" si="17"/>
        <v>9.3503838151870511</v>
      </c>
      <c r="P68" s="1">
        <f t="shared" si="18"/>
        <v>73.697172210984007</v>
      </c>
      <c r="Q68">
        <f t="shared" si="20"/>
        <v>11.949790515809051</v>
      </c>
    </row>
  </sheetData>
  <mergeCells count="20">
    <mergeCell ref="R6:S6"/>
    <mergeCell ref="A1:T1"/>
    <mergeCell ref="A2:B2"/>
    <mergeCell ref="N5:N6"/>
    <mergeCell ref="O5:O6"/>
    <mergeCell ref="L2:O2"/>
    <mergeCell ref="P2:S2"/>
    <mergeCell ref="P3:S3"/>
    <mergeCell ref="R4:S4"/>
    <mergeCell ref="R5:S5"/>
    <mergeCell ref="I5:K5"/>
    <mergeCell ref="G2:K2"/>
    <mergeCell ref="C2:F2"/>
    <mergeCell ref="E5:F6"/>
    <mergeCell ref="C4:D4"/>
    <mergeCell ref="A8:Q8"/>
    <mergeCell ref="N3:N4"/>
    <mergeCell ref="A51:Q51"/>
    <mergeCell ref="A10:Q10"/>
    <mergeCell ref="G6:K6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Information on Ichthyos</vt:lpstr>
      <vt:lpstr>Projected positions of Ichthyos</vt:lpstr>
      <vt:lpstr>Information on Placodontia</vt:lpstr>
      <vt:lpstr>Projected positions of Placoder</vt:lpstr>
      <vt:lpstr>Species distribution</vt:lpstr>
      <vt:lpstr>Statistical speeds </vt:lpstr>
      <vt:lpstr>Statistical distribution inform</vt:lpstr>
      <vt:lpstr>Statistical regression line</vt:lpstr>
      <vt:lpstr>Input Parameters for Simulatio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Kenton Chen</cp:lastModifiedBy>
  <dcterms:created xsi:type="dcterms:W3CDTF">2025-05-12T01:59:12Z</dcterms:created>
  <dcterms:modified xsi:type="dcterms:W3CDTF">2026-05-23T04:10:20Z</dcterms:modified>
</cp:coreProperties>
</file>